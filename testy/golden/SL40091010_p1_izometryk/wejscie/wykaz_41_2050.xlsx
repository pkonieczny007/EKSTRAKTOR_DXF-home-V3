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QNAP-ENERGO\tmp\EKSTRAKTOR_DXF_test\41_2050_test\"/>
    </mc:Choice>
  </mc:AlternateContent>
  <xr:revisionPtr revIDLastSave="0" documentId="13_ncr:1_{7E04A4E2-355F-4037-9A1A-FD3AC0535E0B}" xr6:coauthVersionLast="47" xr6:coauthVersionMax="47" xr10:uidLastSave="{00000000-0000-0000-0000-000000000000}"/>
  <bookViews>
    <workbookView xWindow="-15195" yWindow="-16320" windowWidth="57840" windowHeight="15720" tabRatio="900" xr2:uid="{00000000-000D-0000-FFFF-FFFF00000000}"/>
  </bookViews>
  <sheets>
    <sheet name="WYKAZ" sheetId="1" r:id="rId1"/>
    <sheet name="Arkusz1" sheetId="19" r:id="rId2"/>
    <sheet name="ZŁĄCZNE" sheetId="3" r:id="rId3"/>
    <sheet name="PROFILE" sheetId="5" r:id="rId4"/>
    <sheet name="GUMA" sheetId="6" r:id="rId5"/>
    <sheet name="GUMOWANIE" sheetId="7" r:id="rId6"/>
    <sheet name="MAP" sheetId="8" r:id="rId7"/>
    <sheet name="INNE" sheetId="9" r:id="rId8"/>
    <sheet name="ŁOŻYSKA" sheetId="10" r:id="rId9"/>
    <sheet name="ROLKI" sheetId="11" r:id="rId10"/>
    <sheet name="TAŚMA" sheetId="12" r:id="rId11"/>
    <sheet name="ZDZIERAK" sheetId="13" r:id="rId12"/>
    <sheet name="ELEKTRO" sheetId="14" r:id="rId13"/>
    <sheet name="RA CONTROLS" sheetId="15" r:id="rId14"/>
    <sheet name="NEW TECH" sheetId="16" r:id="rId15"/>
    <sheet name="SIATKI" sheetId="18" r:id="rId16"/>
  </sheets>
  <definedNames>
    <definedName name="_xlnm._FilterDatabase" localSheetId="12" hidden="1">ELEKTRO!$A$1:$C$6</definedName>
    <definedName name="_xlnm._FilterDatabase" localSheetId="4" hidden="1">GUMA!$A$1:$O$9</definedName>
    <definedName name="_xlnm._FilterDatabase" localSheetId="5" hidden="1">GUMOWANIE!$A$1:$O$2</definedName>
    <definedName name="_xlnm._FilterDatabase" localSheetId="7" hidden="1">INNE!$A$1:$C$2</definedName>
    <definedName name="_xlnm._FilterDatabase" localSheetId="8" hidden="1">ŁOŻYSKA!$A$1:$D$17</definedName>
    <definedName name="_xlnm._FilterDatabase" localSheetId="6" hidden="1">MAP!$A$1:$O$18</definedName>
    <definedName name="_xlnm._FilterDatabase" localSheetId="14" hidden="1">'NEW TECH'!$A$1:$B$3</definedName>
    <definedName name="_xlnm._FilterDatabase" localSheetId="3" hidden="1">PROFILE!$A$1:$N$28</definedName>
    <definedName name="_xlnm._FilterDatabase" localSheetId="13" hidden="1">'RA CONTROLS'!$A$1:$C$6</definedName>
    <definedName name="_xlnm._FilterDatabase" localSheetId="9" hidden="1">ROLKI!$A$1:$C$5</definedName>
    <definedName name="_xlnm._FilterDatabase" localSheetId="15" hidden="1">SIATKI!$A$1:$AY$3</definedName>
    <definedName name="_xlnm._FilterDatabase" localSheetId="10" hidden="1">TAŚMA!$A$1:$C$2</definedName>
    <definedName name="_xlnm._FilterDatabase" localSheetId="0" hidden="1">WYKAZ!$A$1:$CU$683</definedName>
    <definedName name="_xlnm._FilterDatabase" localSheetId="11" hidden="1">ZDZIERAK!$A$1:$C$3</definedName>
    <definedName name="_xlnm._FilterDatabase" localSheetId="2" hidden="1">ZŁĄCZNE!$A$1:$B$87</definedName>
  </definedNames>
  <calcPr calcId="191029"/>
  <pivotCaches>
    <pivotCache cacheId="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Z622" i="1" l="1"/>
  <c r="CX622" i="1"/>
  <c r="CZ621" i="1"/>
  <c r="CX621" i="1"/>
  <c r="CX614" i="1"/>
  <c r="CX613" i="1"/>
  <c r="CZ602" i="1"/>
  <c r="CX602" i="1"/>
  <c r="CX490" i="1"/>
  <c r="CX489" i="1"/>
  <c r="CX474" i="1"/>
  <c r="CX472" i="1"/>
  <c r="CZ460" i="1"/>
  <c r="CX460" i="1"/>
  <c r="CZ459" i="1"/>
  <c r="CX459" i="1"/>
  <c r="CZ458" i="1"/>
  <c r="CX458" i="1"/>
  <c r="CZ457" i="1"/>
  <c r="CX457" i="1"/>
  <c r="CZ456" i="1"/>
  <c r="CX456" i="1"/>
  <c r="CZ402" i="1"/>
  <c r="CX402" i="1"/>
  <c r="CZ398" i="1"/>
  <c r="CX398" i="1"/>
  <c r="CZ385" i="1"/>
  <c r="CY385" i="1"/>
  <c r="CX385" i="1"/>
  <c r="CZ384" i="1"/>
  <c r="CX384" i="1"/>
  <c r="CZ381" i="1"/>
  <c r="CY381" i="1"/>
  <c r="CX381" i="1"/>
  <c r="CZ380" i="1"/>
  <c r="CX380" i="1"/>
  <c r="CZ371" i="1"/>
  <c r="CY371" i="1"/>
  <c r="CX371" i="1"/>
  <c r="CZ370" i="1"/>
  <c r="CX370" i="1"/>
  <c r="CZ368" i="1"/>
  <c r="CX368" i="1"/>
  <c r="CZ361" i="1"/>
  <c r="CX361" i="1"/>
  <c r="CX359" i="1"/>
  <c r="CX357" i="1"/>
  <c r="CX335" i="1"/>
  <c r="CX333" i="1"/>
  <c r="CZ331" i="1"/>
  <c r="CX331" i="1"/>
  <c r="CX222" i="1"/>
  <c r="CX211" i="1"/>
  <c r="CX68" i="1"/>
  <c r="CX65" i="1"/>
  <c r="CX60" i="1"/>
  <c r="DA60" i="1"/>
  <c r="AL614" i="1"/>
  <c r="AL613" i="1"/>
  <c r="CZ613" i="1" s="1"/>
  <c r="AL490" i="1"/>
  <c r="CZ490" i="1" s="1"/>
  <c r="AL489" i="1"/>
  <c r="CZ489" i="1" s="1"/>
  <c r="AL474" i="1"/>
  <c r="CZ474" i="1" s="1"/>
  <c r="AL472" i="1"/>
  <c r="CZ472" i="1" s="1"/>
  <c r="AL359" i="1"/>
  <c r="CZ359" i="1" s="1"/>
  <c r="AL357" i="1"/>
  <c r="CZ357" i="1" s="1"/>
  <c r="AL335" i="1"/>
  <c r="CZ335" i="1" s="1"/>
  <c r="AL333" i="1"/>
  <c r="CZ333" i="1" s="1"/>
  <c r="AL222" i="1"/>
  <c r="CZ222" i="1" s="1"/>
  <c r="AL211" i="1"/>
  <c r="CZ211" i="1" s="1"/>
  <c r="AL68" i="1"/>
  <c r="CZ68" i="1" s="1"/>
  <c r="AL65" i="1"/>
  <c r="CZ65" i="1" s="1"/>
  <c r="AK622" i="1"/>
  <c r="AI622" i="1" s="1"/>
  <c r="CW622" i="1" s="1"/>
  <c r="AK621" i="1"/>
  <c r="AI621" i="1" s="1"/>
  <c r="CW621" i="1" s="1"/>
  <c r="AK614" i="1"/>
  <c r="CY614" i="1" s="1"/>
  <c r="AK613" i="1"/>
  <c r="CY613" i="1" s="1"/>
  <c r="AK602" i="1"/>
  <c r="CY602" i="1" s="1"/>
  <c r="AK490" i="1"/>
  <c r="CY490" i="1" s="1"/>
  <c r="AK489" i="1"/>
  <c r="AK474" i="1"/>
  <c r="CY474" i="1" s="1"/>
  <c r="AK472" i="1"/>
  <c r="AK460" i="1"/>
  <c r="AI460" i="1" s="1"/>
  <c r="CW460" i="1" s="1"/>
  <c r="AK459" i="1"/>
  <c r="AI459" i="1" s="1"/>
  <c r="CW459" i="1" s="1"/>
  <c r="AK458" i="1"/>
  <c r="AI458" i="1" s="1"/>
  <c r="CW458" i="1" s="1"/>
  <c r="AK457" i="1"/>
  <c r="AI457" i="1" s="1"/>
  <c r="CW457" i="1" s="1"/>
  <c r="AK456" i="1"/>
  <c r="CY456" i="1" s="1"/>
  <c r="AK402" i="1"/>
  <c r="CY402" i="1" s="1"/>
  <c r="AK398" i="1"/>
  <c r="CY398" i="1" s="1"/>
  <c r="AI385" i="1"/>
  <c r="CW385" i="1" s="1"/>
  <c r="AK384" i="1"/>
  <c r="AI384" i="1" s="1"/>
  <c r="CW384" i="1" s="1"/>
  <c r="AK380" i="1"/>
  <c r="AI380" i="1" s="1"/>
  <c r="CW380" i="1" s="1"/>
  <c r="AI371" i="1"/>
  <c r="CW371" i="1" s="1"/>
  <c r="AK370" i="1"/>
  <c r="AI370" i="1" s="1"/>
  <c r="CW370" i="1" s="1"/>
  <c r="AK368" i="1"/>
  <c r="AI368" i="1" s="1"/>
  <c r="CW368" i="1" s="1"/>
  <c r="AK361" i="1"/>
  <c r="CY361" i="1" s="1"/>
  <c r="AK359" i="1"/>
  <c r="AK357" i="1"/>
  <c r="CY357" i="1" s="1"/>
  <c r="AK335" i="1"/>
  <c r="CY335" i="1" s="1"/>
  <c r="AK333" i="1"/>
  <c r="CY333" i="1" s="1"/>
  <c r="AK331" i="1"/>
  <c r="CY331" i="1" s="1"/>
  <c r="AK222" i="1"/>
  <c r="CY222" i="1" s="1"/>
  <c r="AK211" i="1"/>
  <c r="AI211" i="1" s="1"/>
  <c r="CW211" i="1" s="1"/>
  <c r="AK68" i="1"/>
  <c r="CY68" i="1" s="1"/>
  <c r="AK65" i="1"/>
  <c r="AI65" i="1" s="1"/>
  <c r="CW65" i="1" s="1"/>
  <c r="AL60" i="1"/>
  <c r="CZ60" i="1" s="1"/>
  <c r="AK60" i="1"/>
  <c r="CY60" i="1" s="1"/>
  <c r="AI600" i="1"/>
  <c r="AI576" i="1"/>
  <c r="AI564" i="1"/>
  <c r="AI556" i="1"/>
  <c r="AI555" i="1"/>
  <c r="AI446" i="1"/>
  <c r="AI405" i="1"/>
  <c r="AI281" i="1"/>
  <c r="AI265" i="1"/>
  <c r="AI262" i="1"/>
  <c r="AI215" i="1"/>
  <c r="AI213" i="1"/>
  <c r="AI145" i="1"/>
  <c r="AI126" i="1"/>
  <c r="AI66" i="1"/>
  <c r="AI36" i="1"/>
  <c r="AI34" i="1"/>
  <c r="AI627" i="1"/>
  <c r="AI615" i="1"/>
  <c r="AI612" i="1"/>
  <c r="AI608" i="1"/>
  <c r="AI604" i="1"/>
  <c r="AI598" i="1"/>
  <c r="AI553" i="1"/>
  <c r="AI552" i="1"/>
  <c r="AI543" i="1"/>
  <c r="AI542" i="1"/>
  <c r="AI533" i="1"/>
  <c r="AI519" i="1"/>
  <c r="AI517" i="1"/>
  <c r="AI515" i="1"/>
  <c r="AI504" i="1"/>
  <c r="AI502" i="1"/>
  <c r="AI500" i="1"/>
  <c r="AI482" i="1"/>
  <c r="AI466" i="1"/>
  <c r="AI450" i="1"/>
  <c r="AI448" i="1"/>
  <c r="AI444" i="1"/>
  <c r="AI437" i="1"/>
  <c r="AI435" i="1"/>
  <c r="AI433" i="1"/>
  <c r="AI431" i="1"/>
  <c r="AI424" i="1"/>
  <c r="AI422" i="1"/>
  <c r="AI420" i="1"/>
  <c r="AI418" i="1"/>
  <c r="AI400" i="1"/>
  <c r="AI381" i="1"/>
  <c r="CW381" i="1" s="1"/>
  <c r="AI364" i="1"/>
  <c r="AI346" i="1"/>
  <c r="AI344" i="1"/>
  <c r="AI325" i="1"/>
  <c r="AI309" i="1"/>
  <c r="AI306" i="1"/>
  <c r="AI301" i="1"/>
  <c r="AI294" i="1"/>
  <c r="AI285" i="1"/>
  <c r="AI283" i="1"/>
  <c r="AI279" i="1"/>
  <c r="AI268" i="1"/>
  <c r="AI266" i="1"/>
  <c r="AI263" i="1"/>
  <c r="AI260" i="1"/>
  <c r="AI256" i="1"/>
  <c r="AI255" i="1"/>
  <c r="AI253" i="1"/>
  <c r="AI252" i="1"/>
  <c r="AI251" i="1"/>
  <c r="AI250" i="1"/>
  <c r="AI243" i="1"/>
  <c r="AI228" i="1"/>
  <c r="AI226" i="1"/>
  <c r="AI224" i="1"/>
  <c r="AI217" i="1"/>
  <c r="AI205" i="1"/>
  <c r="AI199" i="1"/>
  <c r="AI171" i="1"/>
  <c r="AI166" i="1"/>
  <c r="AI139" i="1"/>
  <c r="AI138" i="1"/>
  <c r="AI127" i="1"/>
  <c r="AI114" i="1"/>
  <c r="AI110" i="1"/>
  <c r="AI109" i="1"/>
  <c r="AI107" i="1"/>
  <c r="AI105" i="1"/>
  <c r="AI104" i="1"/>
  <c r="AI103" i="1"/>
  <c r="AI101" i="1"/>
  <c r="AI100" i="1"/>
  <c r="AI99" i="1"/>
  <c r="AI89" i="1"/>
  <c r="AI87" i="1"/>
  <c r="AI81" i="1"/>
  <c r="AI79" i="1"/>
  <c r="AI77" i="1"/>
  <c r="AI75" i="1"/>
  <c r="AI74" i="1"/>
  <c r="AI69" i="1"/>
  <c r="AI62" i="1"/>
  <c r="AI58" i="1"/>
  <c r="AI57" i="1"/>
  <c r="AI56" i="1"/>
  <c r="AI55" i="1"/>
  <c r="AI54" i="1"/>
  <c r="AI53" i="1"/>
  <c r="AI52" i="1"/>
  <c r="AI50" i="1"/>
  <c r="AI49" i="1"/>
  <c r="AI48" i="1"/>
  <c r="AI47" i="1"/>
  <c r="AI46" i="1"/>
  <c r="AI45" i="1"/>
  <c r="AI44" i="1"/>
  <c r="AI359" i="1" l="1"/>
  <c r="CW359" i="1" s="1"/>
  <c r="AI335" i="1"/>
  <c r="CW335" i="1" s="1"/>
  <c r="AI613" i="1"/>
  <c r="CW613" i="1" s="1"/>
  <c r="AI331" i="1"/>
  <c r="CW331" i="1" s="1"/>
  <c r="AI472" i="1"/>
  <c r="CW472" i="1" s="1"/>
  <c r="AI489" i="1"/>
  <c r="CW489" i="1" s="1"/>
  <c r="CY370" i="1"/>
  <c r="CY380" i="1"/>
  <c r="CY384" i="1"/>
  <c r="CY458" i="1"/>
  <c r="CY460" i="1"/>
  <c r="CY621" i="1"/>
  <c r="AI614" i="1"/>
  <c r="CW614" i="1" s="1"/>
  <c r="CY65" i="1"/>
  <c r="CY211" i="1"/>
  <c r="CY359" i="1"/>
  <c r="CY368" i="1"/>
  <c r="CY457" i="1"/>
  <c r="CY459" i="1"/>
  <c r="CY472" i="1"/>
  <c r="CY489" i="1"/>
  <c r="CY622" i="1"/>
  <c r="AI333" i="1"/>
  <c r="CW333" i="1" s="1"/>
  <c r="CZ614" i="1"/>
  <c r="AI60" i="1"/>
  <c r="CW60" i="1" s="1"/>
  <c r="AI357" i="1"/>
  <c r="CW357" i="1" s="1"/>
  <c r="AI222" i="1"/>
  <c r="CW222" i="1" s="1"/>
  <c r="AI456" i="1"/>
  <c r="CW456" i="1" s="1"/>
  <c r="AI490" i="1"/>
  <c r="CW490" i="1" s="1"/>
  <c r="AI602" i="1"/>
  <c r="CW602" i="1" s="1"/>
  <c r="AI402" i="1"/>
  <c r="CW402" i="1" s="1"/>
  <c r="AI68" i="1"/>
  <c r="CW68" i="1" s="1"/>
  <c r="AI361" i="1"/>
  <c r="CW361" i="1" s="1"/>
  <c r="AI398" i="1"/>
  <c r="CW398" i="1" s="1"/>
  <c r="AI474" i="1"/>
  <c r="CW474" i="1" s="1"/>
</calcChain>
</file>

<file path=xl/sharedStrings.xml><?xml version="1.0" encoding="utf-8"?>
<sst xmlns="http://schemas.openxmlformats.org/spreadsheetml/2006/main" count="13927" uniqueCount="2081">
  <si>
    <t>L.P.</t>
  </si>
  <si>
    <t>Stufe</t>
  </si>
  <si>
    <t>Posn</t>
  </si>
  <si>
    <t>Material</t>
  </si>
  <si>
    <t>Anz.</t>
  </si>
  <si>
    <t>Menge</t>
  </si>
  <si>
    <t>ME</t>
  </si>
  <si>
    <t>Abmess_1</t>
  </si>
  <si>
    <t>Abmes_2</t>
  </si>
  <si>
    <t>Bezeichnung.............................</t>
  </si>
  <si>
    <t>Zeinr</t>
  </si>
  <si>
    <t>ZEF</t>
  </si>
  <si>
    <t>ZEV</t>
  </si>
  <si>
    <t>Postext_1...............................</t>
  </si>
  <si>
    <t>APS</t>
  </si>
  <si>
    <t>APRev.</t>
  </si>
  <si>
    <t>MART</t>
  </si>
  <si>
    <t>B</t>
  </si>
  <si>
    <t>MS</t>
  </si>
  <si>
    <t>S</t>
  </si>
  <si>
    <t>Gewicht</t>
  </si>
  <si>
    <t>V. Mitterbauer</t>
  </si>
  <si>
    <t>ZAKUPY</t>
  </si>
  <si>
    <t>FB</t>
  </si>
  <si>
    <t>NR FB</t>
  </si>
  <si>
    <t>MODUŁ</t>
  </si>
  <si>
    <t>komentarze dla technologów</t>
  </si>
  <si>
    <t>INFO</t>
  </si>
  <si>
    <t>KOOP/USŁUGA</t>
  </si>
  <si>
    <t>MONTAŻ/WYSYŁKA</t>
  </si>
  <si>
    <t>ZLECENIE</t>
  </si>
  <si>
    <t>UWAGI</t>
  </si>
  <si>
    <t>NAZWA</t>
  </si>
  <si>
    <t>sposób gięcia</t>
  </si>
  <si>
    <t>Gięcie</t>
  </si>
  <si>
    <t>DODATKOWA KOLUMNA</t>
  </si>
  <si>
    <t>sprawdzenie</t>
  </si>
  <si>
    <t>Anz</t>
  </si>
  <si>
    <t>TYP</t>
  </si>
  <si>
    <t>Algorytm dla Anz</t>
  </si>
  <si>
    <t>ZŁOŻENIE</t>
  </si>
  <si>
    <t>REFERENCJA_ELEMENTU</t>
  </si>
  <si>
    <t>MARSZRUTA</t>
  </si>
  <si>
    <t>KONTROLA</t>
  </si>
  <si>
    <t>CZ. MONTAŻ/BARIERKI</t>
  </si>
  <si>
    <t>BM_TYP</t>
  </si>
  <si>
    <t>BM_ZŁOŻENIE</t>
  </si>
  <si>
    <t>BM_REFERENCJA</t>
  </si>
  <si>
    <t>BM_MARSZRUTA</t>
  </si>
  <si>
    <t>00001</t>
  </si>
  <si>
    <t>.1</t>
  </si>
  <si>
    <t>SL6052961</t>
  </si>
  <si>
    <t>ST</t>
  </si>
  <si>
    <t>FÖRDERBAND PBB1000X024,50M</t>
  </si>
  <si>
    <t>L</t>
  </si>
  <si>
    <t>5.422</t>
  </si>
  <si>
    <t>Gewicht ohne Beistellung</t>
  </si>
  <si>
    <t>sbm</t>
  </si>
  <si>
    <t>45672050</t>
  </si>
  <si>
    <t>00002</t>
  </si>
  <si>
    <t>Bandwaage 8032500 (siehe Zeichnung SL6052961)
eingebaut liefern</t>
  </si>
  <si>
    <t>00003</t>
  </si>
  <si>
    <t>..2</t>
  </si>
  <si>
    <t>KEGELRADGETRIEBEMOTOR*11,0KW*KH083*43UPM</t>
  </si>
  <si>
    <t>F</t>
  </si>
  <si>
    <t>Beistellung SBM</t>
  </si>
  <si>
    <t>00004</t>
  </si>
  <si>
    <t>FÖRDERGURT*1000/52000*EP 400/3 4+2*T2*OFFEN
FÖRDERGURT EP 400/3 4+2 OFFEN
GURTLÄNGE: 52000 MM
GURTBREITE: 1000 MM
GURTQUALITÄT: T2 nach DIN22102 (Hitzebeständig: 150°C / Spitze bis 170°
C)</t>
  </si>
  <si>
    <t>TAŚMA</t>
  </si>
  <si>
    <t>00005</t>
  </si>
  <si>
    <t>SL41030444</t>
  </si>
  <si>
    <t>ANTRIEBSTATION BB1000 DM422 KH083</t>
  </si>
  <si>
    <t>ANTRIEBSTATION</t>
  </si>
  <si>
    <t>00006</t>
  </si>
  <si>
    <t>...3</t>
  </si>
  <si>
    <t>SL41031117</t>
  </si>
  <si>
    <t>ANTRIEBSTROMMEL BB1000 DM422 KH083</t>
  </si>
  <si>
    <t>MAP</t>
  </si>
  <si>
    <t>00007</t>
  </si>
  <si>
    <t>....4</t>
  </si>
  <si>
    <t>SL41031704</t>
  </si>
  <si>
    <t>TROMMEL DM406 L=1140 75/115</t>
  </si>
  <si>
    <t>00008</t>
  </si>
  <si>
    <t>.....5</t>
  </si>
  <si>
    <t xml:space="preserve">      1.140,000</t>
  </si>
  <si>
    <t>MM</t>
  </si>
  <si>
    <t>ST-R NTL*406,4/10,0*DIN 2448**ST37.0</t>
  </si>
  <si>
    <t>H</t>
  </si>
  <si>
    <t>00009</t>
  </si>
  <si>
    <t>M2</t>
  </si>
  <si>
    <t>BLECH*030,00*EN 10029*1.0122*S235JRC</t>
  </si>
  <si>
    <t>00010</t>
  </si>
  <si>
    <t>BLECH*004,00*EN 10029*1.0122*S235JRC</t>
  </si>
  <si>
    <t>00011</t>
  </si>
  <si>
    <t>SL41031828</t>
  </si>
  <si>
    <t>ANTRIEBSWELLE DM075 L=1712 KH083</t>
  </si>
  <si>
    <t>00012</t>
  </si>
  <si>
    <t xml:space="preserve">      1.712,000</t>
  </si>
  <si>
    <t>RST BL*075*EN 10278*1.1191*C45E*h6</t>
  </si>
  <si>
    <t>00013</t>
  </si>
  <si>
    <t>SLH164862</t>
  </si>
  <si>
    <t>SPANNSATZ*DM 75/DM 115 TLK 133 5000NM</t>
  </si>
  <si>
    <t>ŁOŻYSKA</t>
  </si>
  <si>
    <t>00014</t>
  </si>
  <si>
    <t>SLH20524</t>
  </si>
  <si>
    <t>REIBBELAG*BB1000 DM406/422 L1150 S=8
RAUTENF. VERKLEBT</t>
  </si>
  <si>
    <t>GUMOWANIE</t>
  </si>
  <si>
    <t>00015</t>
  </si>
  <si>
    <t>SL40031906</t>
  </si>
  <si>
    <t>MONTAGESCHEIBE DM060 WATT KUA80</t>
  </si>
  <si>
    <t>00016</t>
  </si>
  <si>
    <t>RST BL*060*EN 10278*S355J2+N*h9+SL</t>
  </si>
  <si>
    <t>00017</t>
  </si>
  <si>
    <t>M20  /060</t>
  </si>
  <si>
    <t>ZYL-SCHR*M20  /060* *DIN 7984* 8.8 VZ</t>
  </si>
  <si>
    <t>00018</t>
  </si>
  <si>
    <t>018/11/160</t>
  </si>
  <si>
    <t>PASSFEDER*018/11/160*A *DIN 6885</t>
  </si>
  <si>
    <t>00019</t>
  </si>
  <si>
    <t>SL40032117</t>
  </si>
  <si>
    <t>LAGERUNG DM075 SNL517 F. ANTRIEBSTROMMEL</t>
  </si>
  <si>
    <t>00020</t>
  </si>
  <si>
    <t>M020/070</t>
  </si>
  <si>
    <t>SKT-SCHR*M020/070*ISO 4017*8.8*A3K-VZ*SB</t>
  </si>
  <si>
    <t>ZŁĄCZNE</t>
  </si>
  <si>
    <t>00021</t>
  </si>
  <si>
    <t>M020</t>
  </si>
  <si>
    <t>SKT-MUTTER*M020*ISO 4032*8*A3K-VZ*SB</t>
  </si>
  <si>
    <t>00022</t>
  </si>
  <si>
    <t>SCHEIBE*021  *A*DIN  125*ST 300HV VZ</t>
  </si>
  <si>
    <t>00023</t>
  </si>
  <si>
    <t>SLH01881    01</t>
  </si>
  <si>
    <t>STEHLAGERGEHÄUSE*SNL517V SKF
(SNV 150 , SNU 517)
(SNV150-F-L)</t>
  </si>
  <si>
    <t>00024</t>
  </si>
  <si>
    <t>SL22217</t>
  </si>
  <si>
    <t>PENDELROLLENLAGER 22217 KEGELIGE BOHRUNG
SKF: 22217 EK</t>
  </si>
  <si>
    <t>00025</t>
  </si>
  <si>
    <t>SLH01971</t>
  </si>
  <si>
    <t>SPANNHÜLSE H317
ISB, DIN5415</t>
  </si>
  <si>
    <t>00026</t>
  </si>
  <si>
    <t>SLH04812</t>
  </si>
  <si>
    <t>FESTRING*150/12,5 FRB</t>
  </si>
  <si>
    <t>00027</t>
  </si>
  <si>
    <t>SLH09102</t>
  </si>
  <si>
    <t>LAGERDECKEL*ASNH 517
DKV 150</t>
  </si>
  <si>
    <t>00028</t>
  </si>
  <si>
    <t>SLH04817</t>
  </si>
  <si>
    <t>Zweilippendichtung
TSN...L wurde geändert auf TXL 517
SKF-LINGTOS
2 Dichtungshälften = 1 Stk.</t>
  </si>
  <si>
    <t>00029</t>
  </si>
  <si>
    <t>M10/1  *A*DIN340</t>
  </si>
  <si>
    <t>FLACHSCHMIERKOPF*M10/1  *A*DIN3404*ST VZ</t>
  </si>
  <si>
    <t>00030</t>
  </si>
  <si>
    <t>STAUBSCHUTZKAPPE  959 rot
für FLACHKOPFSCHMIERNIPPEL, DIN 3404  SW 17</t>
  </si>
  <si>
    <t>00031</t>
  </si>
  <si>
    <t>SL41033114</t>
  </si>
  <si>
    <t>DREHMOMENTSTÜTZE BB1000 KH083</t>
  </si>
  <si>
    <t>00032</t>
  </si>
  <si>
    <t>SL40033136</t>
  </si>
  <si>
    <t>DREHMOMENTSTÜTZE KH083</t>
  </si>
  <si>
    <t>00033</t>
  </si>
  <si>
    <t>BLECH*012,00*EN 10029*1.0122*S235JRC</t>
  </si>
  <si>
    <t>BLACHA</t>
  </si>
  <si>
    <t>00034</t>
  </si>
  <si>
    <t>SL40033947</t>
  </si>
  <si>
    <t>ZUGSTANGE L=315</t>
  </si>
  <si>
    <t>00035</t>
  </si>
  <si>
    <t>BLECH*008,00*EN 10029*1.0038*S235JR</t>
  </si>
  <si>
    <t>00036</t>
  </si>
  <si>
    <t>M016 /035</t>
  </si>
  <si>
    <t>SKT-SCHR*M016/035*ISO 4017*8.8*A3K-VZ*SB</t>
  </si>
  <si>
    <t>00037</t>
  </si>
  <si>
    <t>SCHEIBE*017  A *DIN  125**ST 300HV VZ</t>
  </si>
  <si>
    <t>00038</t>
  </si>
  <si>
    <t>M030/070</t>
  </si>
  <si>
    <t>SKT-SCHR*M030/070*ISO 4017*8.8*A2K-VZ</t>
  </si>
  <si>
    <t>00039</t>
  </si>
  <si>
    <t>M030</t>
  </si>
  <si>
    <t>SKT-MUTTER*M030*ISO 4032*8*A2K-VZ</t>
  </si>
  <si>
    <t>00040</t>
  </si>
  <si>
    <t>SCHEIBE*031  *A*DIN  125*ST VZ</t>
  </si>
  <si>
    <t>00041</t>
  </si>
  <si>
    <t>SL41034101</t>
  </si>
  <si>
    <t>GRUNDRAHMEN BB1000 DM340/422 SNL513-518</t>
  </si>
  <si>
    <t>00042</t>
  </si>
  <si>
    <t>SL40034101</t>
  </si>
  <si>
    <t>SEITENWAND GRUNDRA. DM340/422 SNL513-518</t>
  </si>
  <si>
    <t>SL40034102</t>
  </si>
  <si>
    <t>00043</t>
  </si>
  <si>
    <t>BLECH*005,00*EN 10029*1.0122*S235JRC</t>
  </si>
  <si>
    <t>00044</t>
  </si>
  <si>
    <t>BLECH*012,00*EN 10029*1.0038*S235JR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</si>
  <si>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</si>
  <si>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</si>
  <si>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</si>
  <si>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</si>
  <si>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</si>
  <si>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</si>
  <si>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</si>
  <si>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</si>
  <si>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</si>
  <si>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</si>
  <si>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</si>
  <si>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</si>
  <si>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</si>
  <si>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</si>
  <si>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SL40034103</t>
  </si>
  <si>
    <t>EINGRIFFSCHUTZ TROM. DM340-538 SNL513-18</t>
  </si>
  <si>
    <t>SL40034104</t>
  </si>
  <si>
    <t>00059</t>
  </si>
  <si>
    <t>BLECH*003,00*EN 10029*1.0038*S235JR</t>
  </si>
  <si>
    <t>00060</t>
  </si>
  <si>
    <t>00061</t>
  </si>
  <si>
    <t>00062</t>
  </si>
  <si>
    <t>SL40036101</t>
  </si>
  <si>
    <t>EINGRIFFSSCHUTZ DM340/422 BB0500-1200</t>
  </si>
  <si>
    <t>00063</t>
  </si>
  <si>
    <t>SL40036102</t>
  </si>
  <si>
    <t>EINGRIFFSCHUTZ TROMMEL DM340/422</t>
  </si>
  <si>
    <t>SL40036103</t>
  </si>
  <si>
    <t>00064</t>
  </si>
  <si>
    <t>......6</t>
  </si>
  <si>
    <t>00065</t>
  </si>
  <si>
    <t>00066</t>
  </si>
  <si>
    <t>00067</t>
  </si>
  <si>
    <t>00068</t>
  </si>
  <si>
    <t>00069</t>
  </si>
  <si>
    <t>M010 /030</t>
  </si>
  <si>
    <t>SKT-SCHR*M010/030*ISO 4017*8.8*A2K-VZ</t>
  </si>
  <si>
    <t>00070</t>
  </si>
  <si>
    <t>M010</t>
  </si>
  <si>
    <t>SKT-MUTTER*M010*ISO 4032*8*A2K-VZ</t>
  </si>
  <si>
    <t>00071</t>
  </si>
  <si>
    <t>SCHEIBE*010,5*A*DIN  125*ST 300HV VZ</t>
  </si>
  <si>
    <t>00072</t>
  </si>
  <si>
    <t>SL41034900</t>
  </si>
  <si>
    <t>QUERTRÄGER GRUNDRAHMEN BB1000</t>
  </si>
  <si>
    <t>00073</t>
  </si>
  <si>
    <t xml:space="preserve">      1.192,000</t>
  </si>
  <si>
    <t>BLECH*006,00*EN 10029*1.0122*S235JRC</t>
  </si>
  <si>
    <t>00074</t>
  </si>
  <si>
    <t>BLECH*008,00*EN 10029*1.0122*S235JRC</t>
  </si>
  <si>
    <t>00075</t>
  </si>
  <si>
    <t>SL41034903</t>
  </si>
  <si>
    <t>RÜCKWAND GRUNDRAHMEN DM340/422</t>
  </si>
  <si>
    <t>00076</t>
  </si>
  <si>
    <t xml:space="preserve">      1.274,000</t>
  </si>
  <si>
    <t>BLECH*003,00*EN 10143*DX51D+Z*VERZINKT</t>
  </si>
  <si>
    <t>00077</t>
  </si>
  <si>
    <t>SL41034904</t>
  </si>
  <si>
    <t>SPRITZSCHUTZ ABSTREIFER BB1000</t>
  </si>
  <si>
    <t>00078</t>
  </si>
  <si>
    <t xml:space="preserve">      1.150,000</t>
  </si>
  <si>
    <t>00079</t>
  </si>
  <si>
    <t>SL40034914</t>
  </si>
  <si>
    <t>ABDICHTUNG ABSTRIEFER HM-U11</t>
  </si>
  <si>
    <t>00080</t>
  </si>
  <si>
    <t>BLECH*004,00*EN 10029*1.0038*S235JR</t>
  </si>
  <si>
    <t>00081</t>
  </si>
  <si>
    <t>GI-PLATTE*004*A 560*40 SH*OHNE EINLAGE</t>
  </si>
  <si>
    <t>GUMA</t>
  </si>
  <si>
    <t>00082</t>
  </si>
  <si>
    <t>00083</t>
  </si>
  <si>
    <t>00084</t>
  </si>
  <si>
    <t>SCHEIBE*M010*ISO 7089*200 HV*A3K-VZ*SB</t>
  </si>
  <si>
    <t>00085</t>
  </si>
  <si>
    <t>SL40034911</t>
  </si>
  <si>
    <t>GEGENHALTER EXZENTERVERSCHLUSS</t>
  </si>
  <si>
    <t>SL40034912</t>
  </si>
  <si>
    <t>00086</t>
  </si>
  <si>
    <t>00087</t>
  </si>
  <si>
    <t>00088</t>
  </si>
  <si>
    <t>00089</t>
  </si>
  <si>
    <t>M012/035</t>
  </si>
  <si>
    <t>SKT-SCHR*M012/035*ISO 4017*8.8*A3K-VZ*SB</t>
  </si>
  <si>
    <t>00090</t>
  </si>
  <si>
    <t>M012</t>
  </si>
  <si>
    <t>SKT-MUTTER*M012*ISO 4032*8*A3K-VZ*SB</t>
  </si>
  <si>
    <t>00091</t>
  </si>
  <si>
    <t>SCHEIBE*013  *A*DIN  125*ST 300HV VZ</t>
  </si>
  <si>
    <t>00092</t>
  </si>
  <si>
    <t>M012/030</t>
  </si>
  <si>
    <t>SKT-SCHR*M012/030*ISO 4017*5.6*A2K-VZ</t>
  </si>
  <si>
    <t>00093</t>
  </si>
  <si>
    <t>M012/040</t>
  </si>
  <si>
    <t>SKT-SCHR*M012/040*ISO 4017*8.8*A3K-VZ*SB</t>
  </si>
  <si>
    <t>00094</t>
  </si>
  <si>
    <t>Abstreifer REMACLEAN HM-F2 BB1000
inkl. Spannvorrichtung
Schabbreite SB=960
Rema Tip Top Art.Nr. 5783054</t>
  </si>
  <si>
    <t>ZDZIERAK</t>
  </si>
  <si>
    <t>00095</t>
  </si>
  <si>
    <t>Abstreifer REMACLEAN HM-U11 BB1000 R-70
ohne Spannvorrichtung
Schabbreite SB=960
Rema Tip Top Art.Nr. 5781840</t>
  </si>
  <si>
    <t>00096</t>
  </si>
  <si>
    <t>SL41038032</t>
  </si>
  <si>
    <t>NORMSCHURRE BB1000 DM340/422 L=350</t>
  </si>
  <si>
    <t>00097</t>
  </si>
  <si>
    <t>SL40038124</t>
  </si>
  <si>
    <t>SEITENWAND NORMSCHURRE DM340/422</t>
  </si>
  <si>
    <t>00098</t>
  </si>
  <si>
    <t>00099</t>
  </si>
  <si>
    <t>00100</t>
  </si>
  <si>
    <t>00101</t>
  </si>
  <si>
    <t>SL40038125</t>
  </si>
  <si>
    <t>00102</t>
  </si>
  <si>
    <t>00103</t>
  </si>
  <si>
    <t>00104</t>
  </si>
  <si>
    <t>00105</t>
  </si>
  <si>
    <t>SL41038033</t>
  </si>
  <si>
    <t>VORDERWAND NORMSCHURRE BB1000</t>
  </si>
  <si>
    <t>00106</t>
  </si>
  <si>
    <t xml:space="preserve">      1.350,000</t>
  </si>
  <si>
    <t>00107</t>
  </si>
  <si>
    <t>SL40038126</t>
  </si>
  <si>
    <t>REVISIONSTÜR 320x187</t>
  </si>
  <si>
    <t>00108</t>
  </si>
  <si>
    <t>00109</t>
  </si>
  <si>
    <t>00110</t>
  </si>
  <si>
    <t>SL41038034</t>
  </si>
  <si>
    <t>GUMMIVORHANG BB1000</t>
  </si>
  <si>
    <t>00111</t>
  </si>
  <si>
    <t xml:space="preserve">      1.050,000</t>
  </si>
  <si>
    <t>GI-PLATTE*010*BLACK-STAR*60 SH*</t>
  </si>
  <si>
    <t>00112</t>
  </si>
  <si>
    <t>SL41038035</t>
  </si>
  <si>
    <t>KLEMMBLECH GUMMIVORHANG BB1000</t>
  </si>
  <si>
    <t>00113</t>
  </si>
  <si>
    <t>00114</t>
  </si>
  <si>
    <t>00115</t>
  </si>
  <si>
    <t>00116</t>
  </si>
  <si>
    <t>SCHEIBE*M012*ISO 7089*200 HV*A3K-VZ*SB</t>
  </si>
  <si>
    <t>00117</t>
  </si>
  <si>
    <t>SKT-SCHR*M012/030*ISO 4017*8.8*A3K-VZ*SB</t>
  </si>
  <si>
    <t>00118</t>
  </si>
  <si>
    <t>M008/025</t>
  </si>
  <si>
    <t>SKT-SCHR*M008/025*ISO 4017*8.8*A2K-VZ</t>
  </si>
  <si>
    <t>00119</t>
  </si>
  <si>
    <t>M008</t>
  </si>
  <si>
    <t>SKT-MUTTER*M008*ISO 4032*8*A2K-VZ</t>
  </si>
  <si>
    <t>00120</t>
  </si>
  <si>
    <t>SCHEIBE*M008*ISO 7089*200 HV*A3K-VZ*SB</t>
  </si>
  <si>
    <t>00121</t>
  </si>
  <si>
    <t>EXZENTERVERSCHLUSS 60450 verzinkt
Artikel 6.020.709.00</t>
  </si>
  <si>
    <t>INNE</t>
  </si>
  <si>
    <t>00122</t>
  </si>
  <si>
    <t>SL40035902</t>
  </si>
  <si>
    <t>SPANNVORRICHTUNG F. REMACLEAN HM-F2 DM61</t>
  </si>
  <si>
    <t>00123</t>
  </si>
  <si>
    <t>SL40035903</t>
  </si>
  <si>
    <t>HALTER F. REMACLEAN HM-F2 DM61</t>
  </si>
  <si>
    <t>00124</t>
  </si>
  <si>
    <t>SL40035905</t>
  </si>
  <si>
    <t>BEFEST.WINKEL F. REMACLEAN HM-F2 DM61</t>
  </si>
  <si>
    <t>00125</t>
  </si>
  <si>
    <t>BLECH*006,00*EN 10029*1.0038*S235JR</t>
  </si>
  <si>
    <t>00126</t>
  </si>
  <si>
    <t>00127</t>
  </si>
  <si>
    <t>M016/040</t>
  </si>
  <si>
    <t>SKT-SCHR*M016/040*ISO 4017*8.8*A3K-VZ*SB</t>
  </si>
  <si>
    <t>00128</t>
  </si>
  <si>
    <t>M016</t>
  </si>
  <si>
    <t>SKT-MUTTER*M016*ISO 4032*8*A3K-VZ*SB</t>
  </si>
  <si>
    <t>00129</t>
  </si>
  <si>
    <t>00130</t>
  </si>
  <si>
    <t>SL40035906</t>
  </si>
  <si>
    <t>KLEMMUNG F. REMACLEAN HM-F2 B=40 DM61</t>
  </si>
  <si>
    <t>00131</t>
  </si>
  <si>
    <t>ST-R NTL*082,5/10,0*EN 10220*S355J2H</t>
  </si>
  <si>
    <t>PROFILE</t>
  </si>
  <si>
    <t>00132</t>
  </si>
  <si>
    <t>SKT-MUTTER*M012    *  *DIN  929*KL 8</t>
  </si>
  <si>
    <t>00133</t>
  </si>
  <si>
    <t>00134</t>
  </si>
  <si>
    <t>SKT-MUTTER*M012*ISO 4035*4*A2K-VZ</t>
  </si>
  <si>
    <t>00135</t>
  </si>
  <si>
    <t>SL40035904</t>
  </si>
  <si>
    <t>HALTER F. REMACLEAN HM-F2 M.SPANNER DM61</t>
  </si>
  <si>
    <t>00136</t>
  </si>
  <si>
    <t>00137</t>
  </si>
  <si>
    <t>00138</t>
  </si>
  <si>
    <t>00139</t>
  </si>
  <si>
    <t>00140</t>
  </si>
  <si>
    <t>00141</t>
  </si>
  <si>
    <t>00142</t>
  </si>
  <si>
    <t>SL40035907</t>
  </si>
  <si>
    <t>SPANNELEMENT F. REMACLEAN HM-F2 DM61</t>
  </si>
  <si>
    <t>00143</t>
  </si>
  <si>
    <t>00144</t>
  </si>
  <si>
    <t>BLECH*010,00*EN 10029*1.0038*S235JR</t>
  </si>
  <si>
    <t>00145</t>
  </si>
  <si>
    <t>M016/120</t>
  </si>
  <si>
    <t>SKT-SCHR*M016/120*ISO 4017*8.8*A2K-VZ</t>
  </si>
  <si>
    <t>00146</t>
  </si>
  <si>
    <t>SKT-MUTTER*M016*ISO 4035*4*A2K-VZ</t>
  </si>
  <si>
    <t>00147</t>
  </si>
  <si>
    <t>00148</t>
  </si>
  <si>
    <t>00149</t>
  </si>
  <si>
    <t>00150</t>
  </si>
  <si>
    <t>00151</t>
  </si>
  <si>
    <t>SL40035908</t>
  </si>
  <si>
    <t>KLEMMUNG F. REMACLEAN HM-F2 B=25 DM61</t>
  </si>
  <si>
    <t>00152</t>
  </si>
  <si>
    <t>00153</t>
  </si>
  <si>
    <t>00154</t>
  </si>
  <si>
    <t>00155</t>
  </si>
  <si>
    <t>00156</t>
  </si>
  <si>
    <t>SL40035901</t>
  </si>
  <si>
    <t>GEWINDESPANNER M24 F. REMACLEAN HM-U11</t>
  </si>
  <si>
    <t>00157</t>
  </si>
  <si>
    <t>ST-R NTL*057,0/08,0*DIN 2448**ST37.0</t>
  </si>
  <si>
    <t>00158</t>
  </si>
  <si>
    <t>M</t>
  </si>
  <si>
    <t>GEWINDESTANGE*M24 **DIN  975* 8.8 VZ</t>
  </si>
  <si>
    <t>00159</t>
  </si>
  <si>
    <t>M024</t>
  </si>
  <si>
    <t>SKT-MUTTER*M024*ISO 4032*8*A3K-VZ*SB</t>
  </si>
  <si>
    <t>00160</t>
  </si>
  <si>
    <t>SCHEIBE*M024*ISO 7089*200 HV*A3K-VZ*SB</t>
  </si>
  <si>
    <t>00161</t>
  </si>
  <si>
    <t>00162</t>
  </si>
  <si>
    <t>00163</t>
  </si>
  <si>
    <t>00164</t>
  </si>
  <si>
    <t>SL40038004</t>
  </si>
  <si>
    <t>ABDECKBLECH ABSTREIFER</t>
  </si>
  <si>
    <t>00165</t>
  </si>
  <si>
    <t>BLECH*002,00*EN 10131*1.0330*DC 01</t>
  </si>
  <si>
    <t>00166</t>
  </si>
  <si>
    <t>00167</t>
  </si>
  <si>
    <t>00168</t>
  </si>
  <si>
    <t>00169</t>
  </si>
  <si>
    <t>SL40032904</t>
  </si>
  <si>
    <t>DISTANZPLATTE SNL517 S=5</t>
  </si>
  <si>
    <t>00170</t>
  </si>
  <si>
    <t>BLECH*005,00*EN 10029*1.0038*S235JR</t>
  </si>
  <si>
    <t>00171</t>
  </si>
  <si>
    <t>M016/050</t>
  </si>
  <si>
    <t>SKT-SCHR*M016/050*ISO 4017*8.8*A3K-VZ*SB</t>
  </si>
  <si>
    <t>00172</t>
  </si>
  <si>
    <t>00173</t>
  </si>
  <si>
    <t>00174</t>
  </si>
  <si>
    <t>SL41040306</t>
  </si>
  <si>
    <t>SPANNSTATION PBB1000 DM324 SNL511</t>
  </si>
  <si>
    <t>SPANNSTATION</t>
  </si>
  <si>
    <t>00175</t>
  </si>
  <si>
    <t>SL41041008</t>
  </si>
  <si>
    <t>SPANNTROMMEL BB1000 DM324 SNL511</t>
  </si>
  <si>
    <t>00176</t>
  </si>
  <si>
    <t>SL41041702</t>
  </si>
  <si>
    <t>TROMMEL DM324 L=1140 50/80</t>
  </si>
  <si>
    <t>00177</t>
  </si>
  <si>
    <t>00178</t>
  </si>
  <si>
    <t>ST-R NTL*323,9/08,0*DIN 2448**ST35.0</t>
  </si>
  <si>
    <t>00179</t>
  </si>
  <si>
    <t>SL41041806</t>
  </si>
  <si>
    <t>SPANNWELLE DM050 L=1374</t>
  </si>
  <si>
    <t>00180</t>
  </si>
  <si>
    <t xml:space="preserve">      1.374,000</t>
  </si>
  <si>
    <t>RST BL*050*EN 10278*1.0503*C45*h6+SL</t>
  </si>
  <si>
    <t>00181</t>
  </si>
  <si>
    <t>SLH164861</t>
  </si>
  <si>
    <t>SPANNSATZ*DM 50/DM80 TLK 133 1830NM</t>
  </si>
  <si>
    <t>00182</t>
  </si>
  <si>
    <t>SL40042136</t>
  </si>
  <si>
    <t>LAGERUNG DM50 SNL511 FÜR SPANNTROMMEL</t>
  </si>
  <si>
    <t>00183</t>
  </si>
  <si>
    <t>M16/080</t>
  </si>
  <si>
    <t>SKT-SCHR*M016/080*ISO 4017*8.8*A2K-VZ</t>
  </si>
  <si>
    <t>00184</t>
  </si>
  <si>
    <t>00185</t>
  </si>
  <si>
    <t>00186</t>
  </si>
  <si>
    <t>SCHEIBE*018,0* *DIN  434*ST*VZ</t>
  </si>
  <si>
    <t>00187</t>
  </si>
  <si>
    <t>SLH12314</t>
  </si>
  <si>
    <t>STEHLAGERGEHÄUSE*SNL 511-609 SKF</t>
  </si>
  <si>
    <t>00188</t>
  </si>
  <si>
    <t>PENDELROLLENLAGER*22211 KEGELIGE BOHRUNG
SKF: 22211 EK</t>
  </si>
  <si>
    <t>00189</t>
  </si>
  <si>
    <t>Spannhülse ISB DIN5415
H311 (ZM)</t>
  </si>
  <si>
    <t>00190</t>
  </si>
  <si>
    <t>SLH12340    01</t>
  </si>
  <si>
    <t>FESTRING*FRB 9,5/100 -40 GRAD</t>
  </si>
  <si>
    <t>00191</t>
  </si>
  <si>
    <t>SLH12316</t>
  </si>
  <si>
    <t>Lagerdeckel
ASNH 511-609 DKV 100
SKF-LINGTOS - 40GRAD</t>
  </si>
  <si>
    <t>00192</t>
  </si>
  <si>
    <t>SLH12315</t>
  </si>
  <si>
    <t>Zweilippendichtung
2 Dichtungshälften = 1 Stk.
TSNA 511G -40Grad</t>
  </si>
  <si>
    <t>00193</t>
  </si>
  <si>
    <t>00194</t>
  </si>
  <si>
    <t>00195</t>
  </si>
  <si>
    <t>SL40043210</t>
  </si>
  <si>
    <t>SPANNHOLM PBB DM324 SNL511</t>
  </si>
  <si>
    <t>00196</t>
  </si>
  <si>
    <t>SL40043212</t>
  </si>
  <si>
    <t>SPANNHOLM SPANNWEG 900 DM324</t>
  </si>
  <si>
    <t>SL40043211</t>
  </si>
  <si>
    <t>00197</t>
  </si>
  <si>
    <t xml:space="preserve">      1.800,000</t>
  </si>
  <si>
    <t>U-STAHL*UNP 120*EN 10279*S235JR</t>
  </si>
  <si>
    <t>00198</t>
  </si>
  <si>
    <t>BLECH*015,00*EN 10029*1.0038*S235JR</t>
  </si>
  <si>
    <t>00199</t>
  </si>
  <si>
    <t>00200</t>
  </si>
  <si>
    <t>SKT-MUTTER*M024*ISO 4035*4*A2K-VZ</t>
  </si>
  <si>
    <t>00201</t>
  </si>
  <si>
    <t>SLM02672</t>
  </si>
  <si>
    <t xml:space="preserve">      1.400,000</t>
  </si>
  <si>
    <t>GEWINDESTANGE    M 24   4.6</t>
  </si>
  <si>
    <t>00202</t>
  </si>
  <si>
    <t>00203</t>
  </si>
  <si>
    <t>00204</t>
  </si>
  <si>
    <t>00205</t>
  </si>
  <si>
    <t>00206</t>
  </si>
  <si>
    <t>00207</t>
  </si>
  <si>
    <t>00208</t>
  </si>
  <si>
    <t>SL41044102</t>
  </si>
  <si>
    <t>SPANNHOLMRAHMEN PBB1000 DM324</t>
  </si>
  <si>
    <t>00209</t>
  </si>
  <si>
    <t>SL40044103</t>
  </si>
  <si>
    <t>SPANNHOLMRAHMEN SEITENWAND PBB DM220/324</t>
  </si>
  <si>
    <t>00210</t>
  </si>
  <si>
    <t xml:space="preserve">      1.638,000</t>
  </si>
  <si>
    <t>00211</t>
  </si>
  <si>
    <t>SL40044906</t>
  </si>
  <si>
    <t>FÜHRUNGSPLATTE PBB H=300 S=15</t>
  </si>
  <si>
    <t>00212</t>
  </si>
  <si>
    <t>00213</t>
  </si>
  <si>
    <t>SL40044904</t>
  </si>
  <si>
    <t>FÜHRUNGSKNOTEN PBB H=300 S=15</t>
  </si>
  <si>
    <t>00214</t>
  </si>
  <si>
    <t>00215</t>
  </si>
  <si>
    <t>SL40071932</t>
  </si>
  <si>
    <t>292X76X20</t>
  </si>
  <si>
    <t>STOSSPLATTE PBB H=300 S=20</t>
  </si>
  <si>
    <t>00216</t>
  </si>
  <si>
    <t>BLECH*020,00*EN 10029*1.0038*S235JR</t>
  </si>
  <si>
    <t>00217</t>
  </si>
  <si>
    <t>SL40044905</t>
  </si>
  <si>
    <t>GEGENLAGER SPANNHOLM</t>
  </si>
  <si>
    <t>00218</t>
  </si>
  <si>
    <t>VKTST GW*040*EN 10059*1.0038*S235JR</t>
  </si>
  <si>
    <t>00219</t>
  </si>
  <si>
    <t>00220</t>
  </si>
  <si>
    <t>SL40044104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</si>
  <si>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</si>
  <si>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</si>
  <si>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</si>
  <si>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</si>
  <si>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</si>
  <si>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</si>
  <si>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</si>
  <si>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</si>
  <si>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</si>
  <si>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</si>
  <si>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</si>
  <si>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SL41044701</t>
  </si>
  <si>
    <t>DIAGONALE L50/5 L=1420 LA=1385</t>
  </si>
  <si>
    <t>00232</t>
  </si>
  <si>
    <t xml:space="preserve">      1.420,000</t>
  </si>
  <si>
    <t>L-STAHL*050/050/05*EN 10056*S235JR</t>
  </si>
  <si>
    <t>00233</t>
  </si>
  <si>
    <t>00234</t>
  </si>
  <si>
    <t>00235</t>
  </si>
  <si>
    <t>SCHEIBE*M016*ISO 7089*200 HV*A3K-VZ*SB</t>
  </si>
  <si>
    <t>00236</t>
  </si>
  <si>
    <t>SL41044700</t>
  </si>
  <si>
    <t>QUERVERBINDUNG L=1320</t>
  </si>
  <si>
    <t>00237</t>
  </si>
  <si>
    <t xml:space="preserve">      1.320,000</t>
  </si>
  <si>
    <t>L-STAHL*040/040/04*EN 10056*S235JR</t>
  </si>
  <si>
    <t>00238</t>
  </si>
  <si>
    <t>M012/025</t>
  </si>
  <si>
    <t>SKT-SCHR*M012/025*ISO 4017*8.8*A3K-VZ*SB</t>
  </si>
  <si>
    <t>00239</t>
  </si>
  <si>
    <t>00240</t>
  </si>
  <si>
    <t>00241</t>
  </si>
  <si>
    <t>SL40043901</t>
  </si>
  <si>
    <t>AUFNAHMEBLECH FÜR SPANNSPINDEL M24</t>
  </si>
  <si>
    <t>00242</t>
  </si>
  <si>
    <t>00243</t>
  </si>
  <si>
    <t>00244</t>
  </si>
  <si>
    <t>M012/045</t>
  </si>
  <si>
    <t>SKT-SCHR*M012/045*ISO 4017*8.8*A3K-VZ*SB</t>
  </si>
  <si>
    <t>00245</t>
  </si>
  <si>
    <t>00246</t>
  </si>
  <si>
    <t>00247</t>
  </si>
  <si>
    <t>SL41045200</t>
  </si>
  <si>
    <t>PFLUGABSTREIFER BB1000 DM324</t>
  </si>
  <si>
    <t>00248</t>
  </si>
  <si>
    <t>SL41045201</t>
  </si>
  <si>
    <t>PFLUG BB1000 DM324</t>
  </si>
  <si>
    <t>00249</t>
  </si>
  <si>
    <t xml:space="preserve">          1.262,000</t>
  </si>
  <si>
    <t>00250</t>
  </si>
  <si>
    <t>BLECH*002,00*EN 10143*DX51D+Z*VERZINKT</t>
  </si>
  <si>
    <t>00251</t>
  </si>
  <si>
    <t>BLECH*020,00*EN 10029*1.0122*S235JRC</t>
  </si>
  <si>
    <t>00252</t>
  </si>
  <si>
    <t>00253</t>
  </si>
  <si>
    <t>RST BL*030*EN 10278*S355J2+N*h11</t>
  </si>
  <si>
    <t>00254</t>
  </si>
  <si>
    <t>00255</t>
  </si>
  <si>
    <t>00256</t>
  </si>
  <si>
    <t>SL41045202</t>
  </si>
  <si>
    <t>GUMMI FÜR PFLUGABSTREIFER BB1000</t>
  </si>
  <si>
    <t>00257</t>
  </si>
  <si>
    <t>SLH03297</t>
  </si>
  <si>
    <t xml:space="preserve">      1.202,000</t>
  </si>
  <si>
    <t>LEITGOSSENGUMMI*50/10 MM 45 SHORE</t>
  </si>
  <si>
    <t>00258</t>
  </si>
  <si>
    <t>SL41045203</t>
  </si>
  <si>
    <t>KLEMMBLECH FÜR PFLUGABSTREIFER BB1000</t>
  </si>
  <si>
    <t>00259</t>
  </si>
  <si>
    <t>00260</t>
  </si>
  <si>
    <t>SL40045202</t>
  </si>
  <si>
    <t>AUFHÄNGUNG FÜR PFLUGABSTREIFER</t>
  </si>
  <si>
    <t>00261</t>
  </si>
  <si>
    <t>00262</t>
  </si>
  <si>
    <t>00263</t>
  </si>
  <si>
    <t>SL40045201</t>
  </si>
  <si>
    <t>00264</t>
  </si>
  <si>
    <t>00265</t>
  </si>
  <si>
    <t>00266</t>
  </si>
  <si>
    <t>SL40045203</t>
  </si>
  <si>
    <t>BEFESTIGUNGSBLECH FÜR PFLUGABSTREIFER</t>
  </si>
  <si>
    <t>00267</t>
  </si>
  <si>
    <t>BLECH*004,00*EN 10143*DX51D+Z*VERZINKT</t>
  </si>
  <si>
    <t>00268</t>
  </si>
  <si>
    <t>M016/090</t>
  </si>
  <si>
    <t>SKT-SCHR*M016/090*ISO 4017*8.8*A2K-VZ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</si>
  <si>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</si>
  <si>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</si>
  <si>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</si>
  <si>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</si>
  <si>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</si>
  <si>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</si>
  <si>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</si>
  <si>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</si>
  <si>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SL41046305</t>
  </si>
  <si>
    <t>ABDECKUNG SPANNTROMMEL PBB1000 DM324</t>
  </si>
  <si>
    <t>00277</t>
  </si>
  <si>
    <t>SL41046306</t>
  </si>
  <si>
    <t>ABDECKBLECH OBEN BB1000 DM324</t>
  </si>
  <si>
    <t>00278</t>
  </si>
  <si>
    <t xml:space="preserve">      1.270,000</t>
  </si>
  <si>
    <t>00279</t>
  </si>
  <si>
    <t>SL41046307</t>
  </si>
  <si>
    <t>ABDECKBLECH HINTEN BB1000 DM324</t>
  </si>
  <si>
    <t>00280</t>
  </si>
  <si>
    <t xml:space="preserve">      1.284,000</t>
  </si>
  <si>
    <t>00281</t>
  </si>
  <si>
    <t>SL40046322</t>
  </si>
  <si>
    <t>SEITENBLECH BEI SPANNTROMMEL DM324</t>
  </si>
  <si>
    <t>SL40046328</t>
  </si>
  <si>
    <t>00282</t>
  </si>
  <si>
    <t>00283</t>
  </si>
  <si>
    <t>SL40046321</t>
  </si>
  <si>
    <t>00284</t>
  </si>
  <si>
    <t>00285</t>
  </si>
  <si>
    <t>M010/025</t>
  </si>
  <si>
    <t>SKT-SCHR*M010/025*ISO 4017*8.8*A2K-VZ</t>
  </si>
  <si>
    <t>00286</t>
  </si>
  <si>
    <t>00287</t>
  </si>
  <si>
    <t>00288</t>
  </si>
  <si>
    <t>00289</t>
  </si>
  <si>
    <t>00290</t>
  </si>
  <si>
    <t>00291</t>
  </si>
  <si>
    <t>VKT-SCHEIBE*14*DIN  434*ST VZ</t>
  </si>
  <si>
    <t>00292</t>
  </si>
  <si>
    <t>SL41046803</t>
  </si>
  <si>
    <t>EINGRIFFSCHUTZ SPANNTROMMEL PBB1000</t>
  </si>
  <si>
    <t>00293</t>
  </si>
  <si>
    <t xml:space="preserve">      1.436,000</t>
  </si>
  <si>
    <t>00294</t>
  </si>
  <si>
    <t>00295</t>
  </si>
  <si>
    <t>00296</t>
  </si>
  <si>
    <t>00297</t>
  </si>
  <si>
    <t>00298</t>
  </si>
  <si>
    <t>00299</t>
  </si>
  <si>
    <t>SL40047020</t>
  </si>
  <si>
    <t>DREHZAHLWÄCHTER SCHALTFAHNE DM324/406</t>
  </si>
  <si>
    <t>00300</t>
  </si>
  <si>
    <t>00301</t>
  </si>
  <si>
    <t>M006/016</t>
  </si>
  <si>
    <t>SKT-SCHR*M006/016*ISO 4017*8.8*A2K-VZ</t>
  </si>
  <si>
    <t>00302</t>
  </si>
  <si>
    <t>SCHEIBE*006,4*A*DIN  125*ST , VZ</t>
  </si>
  <si>
    <t>00303</t>
  </si>
  <si>
    <t>SL41062208</t>
  </si>
  <si>
    <t>UNTERGURTSTATION BB1000</t>
  </si>
  <si>
    <t>00304</t>
  </si>
  <si>
    <t>SL40062244</t>
  </si>
  <si>
    <t>UG-ROLLENAUFHÄNGUNG</t>
  </si>
  <si>
    <t>00305</t>
  </si>
  <si>
    <t>00306</t>
  </si>
  <si>
    <t>SL41062901</t>
  </si>
  <si>
    <t>SCHUTZGITTER UG BB1000</t>
  </si>
  <si>
    <t>00307</t>
  </si>
  <si>
    <t>SL40062903</t>
  </si>
  <si>
    <t>SEITENTEIL EINGRIFFSSCHUTZ</t>
  </si>
  <si>
    <t>00308</t>
  </si>
  <si>
    <t>00309</t>
  </si>
  <si>
    <t>BLINDNIETMUTTER*M010*1-3,5*SENKKOPF*A2K</t>
  </si>
  <si>
    <t>00310</t>
  </si>
  <si>
    <t>SL41062903</t>
  </si>
  <si>
    <t>SCHUTZGITTER BB1000 L=1173</t>
  </si>
  <si>
    <t>00311</t>
  </si>
  <si>
    <t xml:space="preserve">      1.173,000</t>
  </si>
  <si>
    <t>Gittermatte 30x30x3
punktgeschweißtes Gitter in Matten verzinkt
Format: 2010x1020</t>
  </si>
  <si>
    <t>SIATKI</t>
  </si>
  <si>
    <t>00312</t>
  </si>
  <si>
    <t>SL41062902</t>
  </si>
  <si>
    <t>EINGRIFFSCHUTZ UG-ROLLE BB1000</t>
  </si>
  <si>
    <t>00313</t>
  </si>
  <si>
    <t xml:space="preserve">      2.332,000</t>
  </si>
  <si>
    <t xml:space="preserve">      1.166,000</t>
  </si>
  <si>
    <t>L-STAHL*040/040/05*EN 10056*S235JR</t>
  </si>
  <si>
    <t>00314</t>
  </si>
  <si>
    <t>M010/035</t>
  </si>
  <si>
    <t>SKT-SCHR*M010/035*ISO 4017*8.8*A2K-VZ</t>
  </si>
  <si>
    <t>00315</t>
  </si>
  <si>
    <t>SCHEIBE*010,0*ISO 7094*200HV</t>
  </si>
  <si>
    <t>00316</t>
  </si>
  <si>
    <t>00317</t>
  </si>
  <si>
    <t>00318</t>
  </si>
  <si>
    <t>00319</t>
  </si>
  <si>
    <t>00320</t>
  </si>
  <si>
    <t>00321</t>
  </si>
  <si>
    <t>00322</t>
  </si>
  <si>
    <t>SL41062218</t>
  </si>
  <si>
    <t>FÜHRUNGSROLLENHALTER PBB1000 UG M20</t>
  </si>
  <si>
    <t>00323</t>
  </si>
  <si>
    <t>SL40062237</t>
  </si>
  <si>
    <t>FÜHRUNGSROLLENHALTER PBB UG M20</t>
  </si>
  <si>
    <t>00324</t>
  </si>
  <si>
    <t>00325</t>
  </si>
  <si>
    <t>00326</t>
  </si>
  <si>
    <t>00327</t>
  </si>
  <si>
    <t>00328</t>
  </si>
  <si>
    <t>SL41046804</t>
  </si>
  <si>
    <t>EINGRIFFSCHUTZ SPANNSTATION SPW900 BB100</t>
  </si>
  <si>
    <t>00329</t>
  </si>
  <si>
    <t>SL41046805</t>
  </si>
  <si>
    <t>OBERTEIL EINGRIFFSCHUTZ SPST BB1000</t>
  </si>
  <si>
    <t>00330</t>
  </si>
  <si>
    <t>00331</t>
  </si>
  <si>
    <t>SL40046809</t>
  </si>
  <si>
    <t>SEITENTEIL EINGRIFFSCHUTZ SPST DM324</t>
  </si>
  <si>
    <t>SL40046808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</si>
  <si>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</si>
  <si>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</si>
  <si>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</si>
  <si>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</si>
  <si>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</si>
  <si>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</si>
  <si>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</si>
  <si>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</si>
  <si>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</si>
  <si>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</si>
  <si>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</si>
  <si>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SL40045900</t>
  </si>
  <si>
    <t>DISTANZPLATTE PFLUGABSTREIFER S=15</t>
  </si>
  <si>
    <t>00343</t>
  </si>
  <si>
    <t>00344</t>
  </si>
  <si>
    <t>SL40032903</t>
  </si>
  <si>
    <t>DISTANZPLATTE SNL511 S=15</t>
  </si>
  <si>
    <t>A</t>
  </si>
  <si>
    <t>00345</t>
  </si>
  <si>
    <t>00346</t>
  </si>
  <si>
    <t>M024/090</t>
  </si>
  <si>
    <t>SKT-SCHR*M024/090*ISO 4017*8.8*A2K-VZ</t>
  </si>
  <si>
    <t>00347</t>
  </si>
  <si>
    <t>00348</t>
  </si>
  <si>
    <t>00349</t>
  </si>
  <si>
    <t>00350</t>
  </si>
  <si>
    <t>M020*ISO 7089*20</t>
  </si>
  <si>
    <t>SCHEIBE*M020*ISO 7089*200 HV*A3K-VZ*SB</t>
  </si>
  <si>
    <t>00351</t>
  </si>
  <si>
    <t>SLH02022    01</t>
  </si>
  <si>
    <t>UB-ROLLE  89/20    X 1150  SW15
ENDP.2x5+4STÜRI133 GURTEC-rot
TRAGROLLE 89x1150 SW15 AD20 MIT 10B/4A (DM.133)
Wanggo Nr.: 85510042</t>
  </si>
  <si>
    <t>ROLKI</t>
  </si>
  <si>
    <t>00352</t>
  </si>
  <si>
    <t>SLH02026    01</t>
  </si>
  <si>
    <t>SEITL. FÜHRUNGSROLLE    M 20
88,9 X 132 RB 22
Sandvik-rot
GURTEC</t>
  </si>
  <si>
    <t>00353</t>
  </si>
  <si>
    <t>SL6052979</t>
  </si>
  <si>
    <t>MATERIALAUFGABE F. FÖRDERBAND SL6052961</t>
  </si>
  <si>
    <t xml:space="preserve">       1.024,431</t>
  </si>
  <si>
    <t>MATERIALAUFGABE</t>
  </si>
  <si>
    <t>00354</t>
  </si>
  <si>
    <t>SL41051026</t>
  </si>
  <si>
    <t>AUFGABEGOSSE PBB1000 L=2000 40°</t>
  </si>
  <si>
    <t>00355</t>
  </si>
  <si>
    <t>SL40051194</t>
  </si>
  <si>
    <t>LEITBLECH L=2000 40° STANDARD</t>
  </si>
  <si>
    <t>SL40051195</t>
  </si>
  <si>
    <t>00356</t>
  </si>
  <si>
    <t xml:space="preserve">          2.198,000</t>
  </si>
  <si>
    <t>BLECH*003,00*EN 10029*1.0122*S235JRC*</t>
  </si>
  <si>
    <t>00357</t>
  </si>
  <si>
    <t>00358</t>
  </si>
  <si>
    <t>00359</t>
  </si>
  <si>
    <t>SL41051205</t>
  </si>
  <si>
    <t>HALTER LEITBLECH PBB1000 40°</t>
  </si>
  <si>
    <t>00360</t>
  </si>
  <si>
    <t>00361</t>
  </si>
  <si>
    <t>BLINDNIETMUTTER*M010*4,5-6*SENKKOPF*A2K</t>
  </si>
  <si>
    <t>00362</t>
  </si>
  <si>
    <t>SL40051402</t>
  </si>
  <si>
    <t>KLEMMUNG AUFGABEGOSSENDICHTUNG L=2000</t>
  </si>
  <si>
    <t>00363</t>
  </si>
  <si>
    <t xml:space="preserve">      1.990,000</t>
  </si>
  <si>
    <t>00364</t>
  </si>
  <si>
    <t>SL40051502</t>
  </si>
  <si>
    <t>AUFGABEGOSSENDICHTUNG L=2000</t>
  </si>
  <si>
    <t>00365</t>
  </si>
  <si>
    <t>SLH38921</t>
  </si>
  <si>
    <t xml:space="preserve">      2.000,000</t>
  </si>
  <si>
    <t>LEITGOSSENGUMMI*200/10 MM 45 SHORE</t>
  </si>
  <si>
    <t>00366</t>
  </si>
  <si>
    <t>SL41051615</t>
  </si>
  <si>
    <t>ABDECKUNG AUFGABEGOSSE BB1000 40°</t>
  </si>
  <si>
    <t>00367</t>
  </si>
  <si>
    <t xml:space="preserve">      1.370,000</t>
  </si>
  <si>
    <t>00368</t>
  </si>
  <si>
    <t>SL41051714</t>
  </si>
  <si>
    <t>AUFGABEBLECH F AUFGABEGOSSE BB1000 40°</t>
  </si>
  <si>
    <t>00369</t>
  </si>
  <si>
    <t>00370</t>
  </si>
  <si>
    <t>00371</t>
  </si>
  <si>
    <t>SL41051715</t>
  </si>
  <si>
    <t>GUMMI S=4 AUFGABEBLECH BB1000</t>
  </si>
  <si>
    <t>00372</t>
  </si>
  <si>
    <t>00373</t>
  </si>
  <si>
    <t>SL41051716</t>
  </si>
  <si>
    <t>GUMMI S=8 AUFGABEBLECH BB1000</t>
  </si>
  <si>
    <t>00374</t>
  </si>
  <si>
    <t>GI-PLATTE*008*BLACK-STAR*60 SH*</t>
  </si>
  <si>
    <t>00375</t>
  </si>
  <si>
    <t>M010/040</t>
  </si>
  <si>
    <t>SKT-SCHR*M010/040*ISO 4017*8.8*A2K-VZ</t>
  </si>
  <si>
    <t>00376</t>
  </si>
  <si>
    <t>00377</t>
  </si>
  <si>
    <t>00378</t>
  </si>
  <si>
    <t>SL41051332</t>
  </si>
  <si>
    <t>EINGRIFFSCHUTZ PBB1000 L=2000 40°</t>
  </si>
  <si>
    <t>00379</t>
  </si>
  <si>
    <t xml:space="preserve">      2.210,000</t>
  </si>
  <si>
    <t>00380</t>
  </si>
  <si>
    <t>BLECH*001,50*EN 10131*1.0330*DC 01</t>
  </si>
  <si>
    <t>00381</t>
  </si>
  <si>
    <t>BLINDNIETE*5,0/08  ***A*DIN 7337*AL/VZ</t>
  </si>
  <si>
    <t>00382</t>
  </si>
  <si>
    <t>SL41051331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</si>
  <si>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</si>
  <si>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</si>
  <si>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</si>
  <si>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</si>
  <si>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</si>
  <si>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</si>
  <si>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</si>
  <si>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</si>
  <si>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</si>
  <si>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</si>
  <si>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M012/050</t>
  </si>
  <si>
    <t>SKT-SCHR*M012/050*ISO 4017*8.8*A2K-VZ</t>
  </si>
  <si>
    <t>00393</t>
  </si>
  <si>
    <t>FLACHR-SCHR*M012/030*DIN  603* 8.8 VZ</t>
  </si>
  <si>
    <t>00394</t>
  </si>
  <si>
    <t>00395</t>
  </si>
  <si>
    <t>SL41052042</t>
  </si>
  <si>
    <t>LEITGOSSE PBB1000 L=2000 40°</t>
  </si>
  <si>
    <t>00396</t>
  </si>
  <si>
    <t>SL400521105</t>
  </si>
  <si>
    <t>LEITBLECH PBB1000 L=2000 40° STANDARD</t>
  </si>
  <si>
    <t>00397</t>
  </si>
  <si>
    <t xml:space="preserve">          2.000,000</t>
  </si>
  <si>
    <t>00398</t>
  </si>
  <si>
    <t>00399</t>
  </si>
  <si>
    <t>00400</t>
  </si>
  <si>
    <t>00401</t>
  </si>
  <si>
    <t>00402</t>
  </si>
  <si>
    <t>00403</t>
  </si>
  <si>
    <t>SL41052302</t>
  </si>
  <si>
    <t>EINGRIFFSCHUTZ PBB L=2000 40°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</si>
  <si>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</si>
  <si>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</si>
  <si>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</si>
  <si>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</si>
  <si>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</si>
  <si>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</si>
  <si>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</si>
  <si>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</si>
  <si>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</si>
  <si>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</si>
  <si>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SL6052980</t>
  </si>
  <si>
    <t>ROLLENSTATION F. FÖRDERBAND SL6052961</t>
  </si>
  <si>
    <t>ROLLENSTATION</t>
  </si>
  <si>
    <t>00414</t>
  </si>
  <si>
    <t>SL41061207</t>
  </si>
  <si>
    <t>MULDENSTATION PBB1000 20° SW15 STANDARD</t>
  </si>
  <si>
    <t>00415</t>
  </si>
  <si>
    <t>SL41061213</t>
  </si>
  <si>
    <t>MULDENSTATION BB1000 20° 3-TEILIG H=150</t>
  </si>
  <si>
    <t>00416</t>
  </si>
  <si>
    <t>SL41061900</t>
  </si>
  <si>
    <t>GRUNDKÖRPER MULDENSTATION BB1000</t>
  </si>
  <si>
    <t>00417</t>
  </si>
  <si>
    <t xml:space="preserve">      1.230,000</t>
  </si>
  <si>
    <t>00418</t>
  </si>
  <si>
    <t>SL41061214</t>
  </si>
  <si>
    <t>GEGENLAGER MULDENSTATION BB1000 20°</t>
  </si>
  <si>
    <t>00419</t>
  </si>
  <si>
    <t>00420</t>
  </si>
  <si>
    <t>SL41061215</t>
  </si>
  <si>
    <t>STREBE MULDENSTATION BB1000 20°</t>
  </si>
  <si>
    <t>00421</t>
  </si>
  <si>
    <t>00422</t>
  </si>
  <si>
    <t>SL40061200</t>
  </si>
  <si>
    <t>AUFLAGER MULDENSTATION H=100  20°</t>
  </si>
  <si>
    <t>00423</t>
  </si>
  <si>
    <t>00424</t>
  </si>
  <si>
    <t>M016 /045</t>
  </si>
  <si>
    <t>SKT-SCHR*M016/045*ISO 4017*8.8*A3K-VZ*SB</t>
  </si>
  <si>
    <t>00425</t>
  </si>
  <si>
    <t>00426</t>
  </si>
  <si>
    <t>SCHEIBE*017*DIN 125*ST VZ</t>
  </si>
  <si>
    <t>00427</t>
  </si>
  <si>
    <t>SL41061308</t>
  </si>
  <si>
    <t>MULDENSTATION PBB1000 30° SW15 STANDARD</t>
  </si>
  <si>
    <t>00428</t>
  </si>
  <si>
    <t>SL41061317</t>
  </si>
  <si>
    <t>MULDENSTATION BB1000 30° 3-TEILIG H=150</t>
  </si>
  <si>
    <t>00429</t>
  </si>
  <si>
    <t>00430</t>
  </si>
  <si>
    <t>00431</t>
  </si>
  <si>
    <t>SL41061318</t>
  </si>
  <si>
    <t>GEGENLAGER MULDENSTATION BB1000 30°</t>
  </si>
  <si>
    <t>00432</t>
  </si>
  <si>
    <t>00433</t>
  </si>
  <si>
    <t>SL41061319</t>
  </si>
  <si>
    <t>STREBE MULDENSTATION BB1000 30°</t>
  </si>
  <si>
    <t>00434</t>
  </si>
  <si>
    <t>00435</t>
  </si>
  <si>
    <t>SL40061300</t>
  </si>
  <si>
    <t>AUFLAGER MULDENSTATION H=100  30°</t>
  </si>
  <si>
    <t>00436</t>
  </si>
  <si>
    <t>00437</t>
  </si>
  <si>
    <t>00438</t>
  </si>
  <si>
    <t>00439</t>
  </si>
  <si>
    <t>00440</t>
  </si>
  <si>
    <t>SL41061404</t>
  </si>
  <si>
    <t>MULDENSTATION PBB1000 40° SW15 STANDARD</t>
  </si>
  <si>
    <t>00441</t>
  </si>
  <si>
    <t>SL41061410</t>
  </si>
  <si>
    <t>MULDENSTATION BB1000 40° 3-TEILIG H=150</t>
  </si>
  <si>
    <t>00442</t>
  </si>
  <si>
    <t>00443</t>
  </si>
  <si>
    <t>00444</t>
  </si>
  <si>
    <t>SL41061411</t>
  </si>
  <si>
    <t>GEGENLAGER MULDENSTATION BB1000 40°</t>
  </si>
  <si>
    <t>00445</t>
  </si>
  <si>
    <t>00446</t>
  </si>
  <si>
    <t>SL41061412</t>
  </si>
  <si>
    <t>STREBE MULDENSTATION BB1000 40°</t>
  </si>
  <si>
    <t>00447</t>
  </si>
  <si>
    <t>00448</t>
  </si>
  <si>
    <t>SL40061400</t>
  </si>
  <si>
    <t>AUFLAGER MULDENSTATION H=100  40°</t>
  </si>
  <si>
    <t>00449</t>
  </si>
  <si>
    <t>00450</t>
  </si>
  <si>
    <t>00451</t>
  </si>
  <si>
    <t>00452</t>
  </si>
  <si>
    <t>00453</t>
  </si>
  <si>
    <t>SL41061406</t>
  </si>
  <si>
    <t>MULDENSTATION PBB1000 40°  AUF BANDWAAGE</t>
  </si>
  <si>
    <t>00454</t>
  </si>
  <si>
    <t>SL10311085</t>
  </si>
  <si>
    <t>MULDENSTATION BB1000 40° 3-T H=150 WAAGE</t>
  </si>
  <si>
    <t>00455</t>
  </si>
  <si>
    <t xml:space="preserve">          1.120,000</t>
  </si>
  <si>
    <t>00456</t>
  </si>
  <si>
    <t>00457</t>
  </si>
  <si>
    <t>00458</t>
  </si>
  <si>
    <t>00459</t>
  </si>
  <si>
    <t>00460</t>
  </si>
  <si>
    <t>M012/080</t>
  </si>
  <si>
    <t>SKT-SCHR*M012/080*ISO 4014*8.8*A3K-VZ*SB</t>
  </si>
  <si>
    <t>00461</t>
  </si>
  <si>
    <t>00462</t>
  </si>
  <si>
    <t>SCHEIBE*012  * *ISO 7089*ST200HV A4</t>
  </si>
  <si>
    <t>00463</t>
  </si>
  <si>
    <t>SL41062223</t>
  </si>
  <si>
    <t>UNTERGURT ROLLENSTATION PBB1000</t>
  </si>
  <si>
    <t>00464</t>
  </si>
  <si>
    <t>SL40062245</t>
  </si>
  <si>
    <t>UNTERGURTROLLENHALTER PBB</t>
  </si>
  <si>
    <t>00465</t>
  </si>
  <si>
    <t>00466</t>
  </si>
  <si>
    <t>00467</t>
  </si>
  <si>
    <t>00468</t>
  </si>
  <si>
    <t>00469</t>
  </si>
  <si>
    <t>SL41062102</t>
  </si>
  <si>
    <t>FÜHRUNGSROLLENHALTER PBB1000 OG M20</t>
  </si>
  <si>
    <t>00470</t>
  </si>
  <si>
    <t>SL40062124</t>
  </si>
  <si>
    <t>ROLLENHALTER PBB OBERGURT 40°</t>
  </si>
  <si>
    <t>00471</t>
  </si>
  <si>
    <t>00472</t>
  </si>
  <si>
    <t>SL40062125</t>
  </si>
  <si>
    <t>00473</t>
  </si>
  <si>
    <t>00474</t>
  </si>
  <si>
    <t>00475</t>
  </si>
  <si>
    <t>00476</t>
  </si>
  <si>
    <t>00477</t>
  </si>
  <si>
    <t>SCHEIBE*017,0* *DIN 9021*140HV VZ</t>
  </si>
  <si>
    <t>00478</t>
  </si>
  <si>
    <t>00479</t>
  </si>
  <si>
    <t>SL41062214</t>
  </si>
  <si>
    <t>00480</t>
  </si>
  <si>
    <t>SL40062225</t>
  </si>
  <si>
    <t>00481</t>
  </si>
  <si>
    <t>00482</t>
  </si>
  <si>
    <t>00483</t>
  </si>
  <si>
    <t>00484</t>
  </si>
  <si>
    <t>00485</t>
  </si>
  <si>
    <t>00486</t>
  </si>
  <si>
    <t>SKT-MUTTER*M020*ISO 4035*4*A2K-VZ</t>
  </si>
  <si>
    <t>00487</t>
  </si>
  <si>
    <t>SL41091004</t>
  </si>
  <si>
    <t>HALTERUNG SCHIEFLAUFSCHALTER PBB1000 40°</t>
  </si>
  <si>
    <t>00488</t>
  </si>
  <si>
    <t>00489</t>
  </si>
  <si>
    <t>00490</t>
  </si>
  <si>
    <t>00491</t>
  </si>
  <si>
    <t>00492</t>
  </si>
  <si>
    <t>00493</t>
  </si>
  <si>
    <t>M005/025</t>
  </si>
  <si>
    <t>SKT-SCHR*M005/025*ISO 4017*8.8*A2K-VZ</t>
  </si>
  <si>
    <t>00494</t>
  </si>
  <si>
    <t>M005</t>
  </si>
  <si>
    <t>SKT-MUTTER*M005*ISO 4032*8*A2K-VZ</t>
  </si>
  <si>
    <t>00495</t>
  </si>
  <si>
    <t>SCHEIBE*005,3*A*DIN  125*ST VZ</t>
  </si>
  <si>
    <t>00496</t>
  </si>
  <si>
    <t>SL6052981</t>
  </si>
  <si>
    <t>BANDGERÜST F. FÖRDERBAND SL6052961</t>
  </si>
  <si>
    <t>BANDGERÜST</t>
  </si>
  <si>
    <t>00497</t>
  </si>
  <si>
    <t>SL41071604</t>
  </si>
  <si>
    <t>FÖRDERBANDSCHUSS PBB1000 L=6000 H=300</t>
  </si>
  <si>
    <t>00498</t>
  </si>
  <si>
    <t>SL40071609</t>
  </si>
  <si>
    <t>BANDHOLM PBB L=6000 H=300 STANDARD</t>
  </si>
  <si>
    <t>00499</t>
  </si>
  <si>
    <t xml:space="preserve">      5.990,000</t>
  </si>
  <si>
    <t>00500</t>
  </si>
  <si>
    <t>00501</t>
  </si>
  <si>
    <t>00502</t>
  </si>
  <si>
    <t>SL40071933</t>
  </si>
  <si>
    <t>PLATTE PBB H=300 S=10</t>
  </si>
  <si>
    <t>00503</t>
  </si>
  <si>
    <t>00504</t>
  </si>
  <si>
    <t>SL41071704</t>
  </si>
  <si>
    <t>DIAGONALE L50/5 L=1514 LA=1462</t>
  </si>
  <si>
    <t>00505</t>
  </si>
  <si>
    <t xml:space="preserve">     27.252,000</t>
  </si>
  <si>
    <t xml:space="preserve">      1.514,000</t>
  </si>
  <si>
    <t>00506</t>
  </si>
  <si>
    <t>00507</t>
  </si>
  <si>
    <t>00508</t>
  </si>
  <si>
    <t>00509</t>
  </si>
  <si>
    <t>M020/080</t>
  </si>
  <si>
    <t>SKT-SCHR*M020/080*ISO 4017*8.8*A2K-VZ</t>
  </si>
  <si>
    <t>00510</t>
  </si>
  <si>
    <t>00511</t>
  </si>
  <si>
    <t>00512</t>
  </si>
  <si>
    <t>SL41071405</t>
  </si>
  <si>
    <t>FÖRDERBANDSCHUSS PBB1000 L=4000 H=300</t>
  </si>
  <si>
    <t>C</t>
  </si>
  <si>
    <t>00513</t>
  </si>
  <si>
    <t>SL40071412</t>
  </si>
  <si>
    <t>BANDHOLM PBB L=4000 H=300 STANDARD</t>
  </si>
  <si>
    <t>00514</t>
  </si>
  <si>
    <t xml:space="preserve">      3.990,000</t>
  </si>
  <si>
    <t>00515</t>
  </si>
  <si>
    <t>00516</t>
  </si>
  <si>
    <t>00517</t>
  </si>
  <si>
    <t>00518</t>
  </si>
  <si>
    <t>00519</t>
  </si>
  <si>
    <t>00520</t>
  </si>
  <si>
    <t xml:space="preserve">      6.056,000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</si>
  <si>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</si>
  <si>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</si>
  <si>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</si>
  <si>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</si>
  <si>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</si>
  <si>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</si>
  <si>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</si>
  <si>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</si>
  <si>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</si>
  <si>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</si>
  <si>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SL41072004</t>
  </si>
  <si>
    <t>LASCHE FÜR SPANNSTATION H=050 LA=100</t>
  </si>
  <si>
    <t>00531</t>
  </si>
  <si>
    <t>SL40072001</t>
  </si>
  <si>
    <t>00532</t>
  </si>
  <si>
    <t>00533</t>
  </si>
  <si>
    <t>00534</t>
  </si>
  <si>
    <t>00535</t>
  </si>
  <si>
    <t>SCHEIBE*013*DIN  125*ST VZ</t>
  </si>
  <si>
    <t>00536</t>
  </si>
  <si>
    <t>M020/050</t>
  </si>
  <si>
    <t>SKT-SCHR*M020/050*ISO 4017*8.8*A3K-VZ*SB</t>
  </si>
  <si>
    <t>00537</t>
  </si>
  <si>
    <t>00538</t>
  </si>
  <si>
    <t>SCHEIBE*021  * *DIN 125*   VZ</t>
  </si>
  <si>
    <t>00539</t>
  </si>
  <si>
    <t>SL41072003</t>
  </si>
  <si>
    <t>LASCHE FÜR BANDGERÜST H=050 LA=130</t>
  </si>
  <si>
    <t>00540</t>
  </si>
  <si>
    <t>SL40072002</t>
  </si>
  <si>
    <t>LASCHE FÜR BANDGERÜST H=050 LA=120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</si>
  <si>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</si>
  <si>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</si>
  <si>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</si>
  <si>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</si>
  <si>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</si>
  <si>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</si>
  <si>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</si>
  <si>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</si>
  <si>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</si>
  <si>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SL10523529</t>
  </si>
  <si>
    <t>LASCHE F. BANDGERÜST PBB1000 H=050 SOND.</t>
  </si>
  <si>
    <t>00550</t>
  </si>
  <si>
    <t>SL10523531</t>
  </si>
  <si>
    <t>LASCHE FÜR BANDERÜST H=050 SONDER</t>
  </si>
  <si>
    <t>00551</t>
  </si>
  <si>
    <t>00552</t>
  </si>
  <si>
    <t>00553</t>
  </si>
  <si>
    <t>SL10523530</t>
  </si>
  <si>
    <t>00554</t>
  </si>
  <si>
    <t>00555</t>
  </si>
  <si>
    <t>00556</t>
  </si>
  <si>
    <t>00557</t>
  </si>
  <si>
    <t>00558</t>
  </si>
  <si>
    <t>00559</t>
  </si>
  <si>
    <t>M020/055</t>
  </si>
  <si>
    <t>SKT-SCHR*M020/055*ISO 4017*8.8*A3K-VZ*SB</t>
  </si>
  <si>
    <t>00560</t>
  </si>
  <si>
    <t>00561</t>
  </si>
  <si>
    <t>00562</t>
  </si>
  <si>
    <t>SL40091010</t>
  </si>
  <si>
    <t>KONSOLE REISSLEINENSCHALTER LIFELINE 4</t>
  </si>
  <si>
    <t>00563</t>
  </si>
  <si>
    <t>00564</t>
  </si>
  <si>
    <t>M010/020</t>
  </si>
  <si>
    <t>SKT-SCHR*M010/020*ISO 4017*8.8*A2K-VZ</t>
  </si>
  <si>
    <t>00565</t>
  </si>
  <si>
    <t>SKT-MUTTER*M010*ISO 4032*8*A2K-VZ*LI</t>
  </si>
  <si>
    <t>00566</t>
  </si>
  <si>
    <t>00567</t>
  </si>
  <si>
    <t>M005/020</t>
  </si>
  <si>
    <t>SKT-SCHR*M005/020*ISO 4017*8.8*A2K-VZ</t>
  </si>
  <si>
    <t>00568</t>
  </si>
  <si>
    <t>00569</t>
  </si>
  <si>
    <t>SCHEIBE*005,3*A*DIN  125*ST 300HV VZ</t>
  </si>
  <si>
    <t>00570</t>
  </si>
  <si>
    <t>SL6052982</t>
  </si>
  <si>
    <t>ZUBEHÖR F. FÖRDERBAND SL6052961</t>
  </si>
  <si>
    <t>ZUBEHÖR</t>
  </si>
  <si>
    <t>00571</t>
  </si>
  <si>
    <t>SL41082134</t>
  </si>
  <si>
    <t>AUFLAGERBOCK BB1000 H=0530 STAKO</t>
  </si>
  <si>
    <t>00572</t>
  </si>
  <si>
    <t>L-STAHL*090/090/09*EN 10056*S235JR</t>
  </si>
  <si>
    <t>00573</t>
  </si>
  <si>
    <t xml:space="preserve">      1.060,000</t>
  </si>
  <si>
    <t>U-STAHL*UNP 100*EN 10279*S235JR</t>
  </si>
  <si>
    <t>00574</t>
  </si>
  <si>
    <t xml:space="preserve">      1.338,000</t>
  </si>
  <si>
    <t>I-STAHL*IPE 120*EN 10034*1.0038*S235JR</t>
  </si>
  <si>
    <t>00575</t>
  </si>
  <si>
    <t>00576</t>
  </si>
  <si>
    <t>SL41083008</t>
  </si>
  <si>
    <t>AUFLAGERGELENK FÜR STÜTZE H=075 IPB180</t>
  </si>
  <si>
    <t>00577</t>
  </si>
  <si>
    <t>SL40083021</t>
  </si>
  <si>
    <t>00578</t>
  </si>
  <si>
    <t xml:space="preserve">      1.080,000</t>
  </si>
  <si>
    <t>L-STAHL*100/100/10*EN 10056*S235JR</t>
  </si>
  <si>
    <t>00579</t>
  </si>
  <si>
    <t>00580</t>
  </si>
  <si>
    <t>00581</t>
  </si>
  <si>
    <t>00582</t>
  </si>
  <si>
    <t>SL41082204</t>
  </si>
  <si>
    <t>FÖRDERBANDSTÜTZE LEICHT BB1000 H=1240</t>
  </si>
  <si>
    <t>00583</t>
  </si>
  <si>
    <t xml:space="preserve">      5.200,000</t>
  </si>
  <si>
    <t xml:space="preserve">      1.300,000</t>
  </si>
  <si>
    <t>U-STAHL*UNP 080*EN 10279*S235JR</t>
  </si>
  <si>
    <t>00584</t>
  </si>
  <si>
    <t xml:space="preserve">      5.352,000</t>
  </si>
  <si>
    <t>00585</t>
  </si>
  <si>
    <t xml:space="preserve">      3.100,000</t>
  </si>
  <si>
    <t xml:space="preserve">      1.550,000</t>
  </si>
  <si>
    <t>00586</t>
  </si>
  <si>
    <t>SL41082214</t>
  </si>
  <si>
    <t>FÖRDERBANDSTÜTZE LEICHT BB1000 H=0425</t>
  </si>
  <si>
    <t>00587</t>
  </si>
  <si>
    <t>00588</t>
  </si>
  <si>
    <t xml:space="preserve">      2.676,000</t>
  </si>
  <si>
    <t>00589</t>
  </si>
  <si>
    <t xml:space="preserve">      1.120,000</t>
  </si>
  <si>
    <t>00590</t>
  </si>
  <si>
    <t>SL10395903</t>
  </si>
  <si>
    <t>SCHUTZ F. UNTERGURTROLLENSTATION PBB1000</t>
  </si>
  <si>
    <t>00591</t>
  </si>
  <si>
    <t xml:space="preserve">      1.323,000</t>
  </si>
  <si>
    <t>00592</t>
  </si>
  <si>
    <t>00593</t>
  </si>
  <si>
    <t>00594</t>
  </si>
  <si>
    <t>SCHEIBE*012  * *ISO 7089*A2</t>
  </si>
  <si>
    <t>00595</t>
  </si>
  <si>
    <t>SCHEIBE*014,0*ISO 7094*100HV*</t>
  </si>
  <si>
    <t>00596</t>
  </si>
  <si>
    <t>SL41085200</t>
  </si>
  <si>
    <t>TRAPEZBLECH BB1000 L=2000 H=090</t>
  </si>
  <si>
    <t>00597</t>
  </si>
  <si>
    <t xml:space="preserve">          1.267,000</t>
  </si>
  <si>
    <t>00598</t>
  </si>
  <si>
    <t>SL41085202</t>
  </si>
  <si>
    <t>TRAPEZBLECH BB1000 L=1660 H=090</t>
  </si>
  <si>
    <t>00599</t>
  </si>
  <si>
    <t xml:space="preserve">      1.660,000</t>
  </si>
  <si>
    <t>00600</t>
  </si>
  <si>
    <t>SL10585357</t>
  </si>
  <si>
    <t>00601</t>
  </si>
  <si>
    <t>00602</t>
  </si>
  <si>
    <t>SL41085203</t>
  </si>
  <si>
    <t>ABSCHLUSS TRAPEZBLECH BB1000 H=090</t>
  </si>
  <si>
    <t>00603</t>
  </si>
  <si>
    <t xml:space="preserve">      1.031,000</t>
  </si>
  <si>
    <t>BLECH*001,00*EN 10143*DX51D+Z*VERZINKT</t>
  </si>
  <si>
    <t>00604</t>
  </si>
  <si>
    <t>BLECHSCHRAUBE*K 6,3x19 DIN 7504</t>
  </si>
  <si>
    <t>00605</t>
  </si>
  <si>
    <t>SL500173</t>
  </si>
  <si>
    <t>50X48X21</t>
  </si>
  <si>
    <t>KLEMME FÜR TRAPEZBLECH</t>
  </si>
  <si>
    <t>00606</t>
  </si>
  <si>
    <t>SL304675 K</t>
  </si>
  <si>
    <t>48X19X50</t>
  </si>
  <si>
    <t>KLEMME</t>
  </si>
  <si>
    <t>00607</t>
  </si>
  <si>
    <t>00608</t>
  </si>
  <si>
    <t>00609</t>
  </si>
  <si>
    <t>M008 /035</t>
  </si>
  <si>
    <t>SKT-SCHR*M008/035*ISO 4017*8.8*A2K-VZ</t>
  </si>
  <si>
    <t>00610</t>
  </si>
  <si>
    <t>SL41085912</t>
  </si>
  <si>
    <t>ZWISCHENRAHMEN BB1000 H=120 L=1170</t>
  </si>
  <si>
    <t>00611</t>
  </si>
  <si>
    <t xml:space="preserve">      1.294,000</t>
  </si>
  <si>
    <t>00612</t>
  </si>
  <si>
    <t xml:space="preserve">      1.170,000</t>
  </si>
  <si>
    <t>00613</t>
  </si>
  <si>
    <t>00614</t>
  </si>
  <si>
    <t>00615</t>
  </si>
  <si>
    <t>00616</t>
  </si>
  <si>
    <t>00617</t>
  </si>
  <si>
    <t>00618</t>
  </si>
  <si>
    <t>SL10585164</t>
  </si>
  <si>
    <t>ABDECKHAUBE BB1000 H=260 L=1170</t>
  </si>
  <si>
    <t>00619</t>
  </si>
  <si>
    <t>SL10585163</t>
  </si>
  <si>
    <t>ABDECKHAUBE SL10585164 EINZELTEILE</t>
  </si>
  <si>
    <t>00620</t>
  </si>
  <si>
    <t xml:space="preserve">      1.167,000</t>
  </si>
  <si>
    <t xml:space="preserve">          1.603,000</t>
  </si>
  <si>
    <t>00621</t>
  </si>
  <si>
    <t xml:space="preserve">          1.227,000</t>
  </si>
  <si>
    <t>00622</t>
  </si>
  <si>
    <t>00623</t>
  </si>
  <si>
    <t>00624</t>
  </si>
  <si>
    <t>SCHEIBE*010,5* *DIN  125*STVZ</t>
  </si>
  <si>
    <t>00625</t>
  </si>
  <si>
    <t>SL109905 K</t>
  </si>
  <si>
    <t>DICHTLEISTE AUF LEITGOSSE L=0700</t>
  </si>
  <si>
    <t>00626</t>
  </si>
  <si>
    <t>00627</t>
  </si>
  <si>
    <t>SLH03298</t>
  </si>
  <si>
    <t>LEITGOSSENGUMMI*100/10 MM 45 SHORE</t>
  </si>
  <si>
    <t>00628</t>
  </si>
  <si>
    <t>00629</t>
  </si>
  <si>
    <t>00630</t>
  </si>
  <si>
    <t>00631</t>
  </si>
  <si>
    <t>SKT-MUTTER*M010*ISO 4035*4*A2K-VZ</t>
  </si>
  <si>
    <t>00632</t>
  </si>
  <si>
    <t>SLH01994    01</t>
  </si>
  <si>
    <t>OB-ROLLE  108/20   X 380  SW15
GURTEC-rot</t>
  </si>
  <si>
    <t>00633</t>
  </si>
  <si>
    <t>00634</t>
  </si>
  <si>
    <t>SEITLICHE FUEHRUNGSROLLE
TYPE:GST 63,5/M20/100
FORM B</t>
  </si>
  <si>
    <t>00635</t>
  </si>
  <si>
    <t>00636</t>
  </si>
  <si>
    <t>SEILZUGNOTSCHALTER LIFELINE 4 ohne NA-Knopf
SEILZUGNOTSCHALTER FUER FOERDERBAND
REISSLEINENMONTAGE IN EINE RICHTUNG
OHNE PILZTASTER AM DECKEL,
RUECKSTELLHEBEL.
KONTAKTBELEGUNG: 1 SCHLIESSER, 3 OEFFNER (3 NC, 1 NO)
BIS 75 METER SEILLÄNGE
KABELEINFÜHRUNG M20
TYPE: LIFELINE 4:  440E-L13179</t>
  </si>
  <si>
    <t>RA CONTROLS</t>
  </si>
  <si>
    <t>00637</t>
  </si>
  <si>
    <t>SL126150 K</t>
  </si>
  <si>
    <t>SICHERHEITSEINR. GT/IB/PEB/PBB</t>
  </si>
  <si>
    <t>00638</t>
  </si>
  <si>
    <t>SLH195692</t>
  </si>
  <si>
    <t>SPANNVORRICHTUNG      SEIL 4mm
Seileinstellung 300mm
Art.Nr. 440E-A17105
Rockwell</t>
  </si>
  <si>
    <t>00639</t>
  </si>
  <si>
    <t>AUGENSCHR*M012/100*A *DIN  444* 4.6 VZ</t>
  </si>
  <si>
    <t>00640</t>
  </si>
  <si>
    <t>00641</t>
  </si>
  <si>
    <t>00642</t>
  </si>
  <si>
    <t>SLH195690</t>
  </si>
  <si>
    <t>SEILHAKEN*SEIL 4 (1 Stk.)
****
Seilhaken SLH195690 = 1 Stk
Art.Nr. AB440E-A17107
Rockwell</t>
  </si>
  <si>
    <t>00643</t>
  </si>
  <si>
    <t>SLH195687</t>
  </si>
  <si>
    <t xml:space="preserve">     30.000,000</t>
  </si>
  <si>
    <t>REISSLEINE     4mm (0,15")
m. roter Kunststoffummantelung
in UV-beständiger Qualität
Art.Nr.440E-A14740 Rockwell</t>
  </si>
  <si>
    <t>00644</t>
  </si>
  <si>
    <t>SLH195688</t>
  </si>
  <si>
    <t>ZUGFEDER  DURCHM. 19mm
L=210mm  50N
für Reißleinen 4mm
Art.Nr. 440E-A13078
Rockwell</t>
  </si>
  <si>
    <t>00645</t>
  </si>
  <si>
    <t>SLH10554</t>
  </si>
  <si>
    <t>SCHAUKELHAKEN zu HEN001 M10
Deckenhaken verz. gewunden
Nr. 18E, 10x140 mm</t>
  </si>
  <si>
    <t>00646</t>
  </si>
  <si>
    <t>NAEHERUNGSSENSOR*M30*NBB15-30GM50-A2-V1
Induktiver Sensor:
NBB15-30GM50-A2-V1
Art.Nr. 4206100
Nachfolgetyp von NBB15-30GM60-A2-V1
d.h. Gewindelänge neu ca.50mm (anstatt 60mm)
Schaltelement: PNP
Schaltabstand: 15mm
Einbau: bündig
Betriebsspannung: 10...30VDC
Schutzart: IP67
Anschlussart: Gerätestecker M12x1, 4-polig
!!!BÜNDIG!!!</t>
  </si>
  <si>
    <t>NEW TECH</t>
  </si>
  <si>
    <t>00647</t>
  </si>
  <si>
    <t>KABELDOSE*M12*4 POL*V1-W-15M-PUR*P+F*
KABELDOSE V1-W-15M-PUR
Kabeldose, M12, 4-polig, PUR-Kabel
Polzahl: 4
Kabel: PUR
Länge:15m
Adern: 4x0,34mm²
Artikelnummer P+F: 195615</t>
  </si>
  <si>
    <t>00648</t>
  </si>
  <si>
    <t>LEITGOSSENGUMMI*150/10 MM*60 SHORE*HB</t>
  </si>
  <si>
    <t>00649</t>
  </si>
  <si>
    <t>SL6014189</t>
  </si>
  <si>
    <t>ELEKTRIKVERROHRUNG FÜR PBB L=6000</t>
  </si>
  <si>
    <t>SL10500602</t>
  </si>
  <si>
    <t>ELEKTRIKVERROHRUNG</t>
  </si>
  <si>
    <t>00650</t>
  </si>
  <si>
    <t xml:space="preserve">      2.850,000</t>
  </si>
  <si>
    <t>ELEKTROROHR*SALR 32*3 METER* FA.DIETZEL</t>
  </si>
  <si>
    <t>ELEKTRO</t>
  </si>
  <si>
    <t>00651</t>
  </si>
  <si>
    <t>SLH33866</t>
  </si>
  <si>
    <t>KOMFORTSCHELLE MPN-S 1" A
HILTI ART-NR.: 229817</t>
  </si>
  <si>
    <t>00652</t>
  </si>
  <si>
    <t>ENDTUELLE*32,0***STAPA</t>
  </si>
  <si>
    <t>00653</t>
  </si>
  <si>
    <t>M008/020</t>
  </si>
  <si>
    <t>SKT-SCHR*M008/020*ISO 4017*8.8*A2K-VZ</t>
  </si>
  <si>
    <t>00654</t>
  </si>
  <si>
    <t>SCHEIBE*008,4*A*DIN  125*ST VZ</t>
  </si>
  <si>
    <t>00655</t>
  </si>
  <si>
    <t>SL6014190</t>
  </si>
  <si>
    <t>ELEKTRIKVERROHRUNG FÜR PBB L=4000</t>
  </si>
  <si>
    <t>00656</t>
  </si>
  <si>
    <t xml:space="preserve">      1.850,000</t>
  </si>
  <si>
    <t>00657</t>
  </si>
  <si>
    <t>00658</t>
  </si>
  <si>
    <t>00659</t>
  </si>
  <si>
    <t>00660</t>
  </si>
  <si>
    <t>00661</t>
  </si>
  <si>
    <t>SL6014500</t>
  </si>
  <si>
    <t>ELEKTRIKVERROHRUNG FÜR SPS BB0500-1600</t>
  </si>
  <si>
    <t>00662</t>
  </si>
  <si>
    <t>SLH60432</t>
  </si>
  <si>
    <t>ABSTANDSSCHELLE (ROHRSCHELLE)
733/30-38 1361384
PG 29 30-38mm Galv. Nr.634506</t>
  </si>
  <si>
    <t>00663</t>
  </si>
  <si>
    <t>SLH64071</t>
  </si>
  <si>
    <t>BEFESTIGUNGSSCHELLE*CADDY 4H 24 (3-8MM)</t>
  </si>
  <si>
    <t>00664</t>
  </si>
  <si>
    <t>ZYL-SCHR*M06  /020* *DIN   84* 4.6</t>
  </si>
  <si>
    <t>00665</t>
  </si>
  <si>
    <t>SCHEIBE*006,4*A*DIN  125*ST 300HV VZ</t>
  </si>
  <si>
    <t>00666</t>
  </si>
  <si>
    <t>00667</t>
  </si>
  <si>
    <t>00668</t>
  </si>
  <si>
    <t>M006</t>
  </si>
  <si>
    <t>SKT-MUTTER*M006*ISO 4032*8*A2K-VZ</t>
  </si>
  <si>
    <t>00669</t>
  </si>
  <si>
    <t>SLH12710</t>
  </si>
  <si>
    <t>SCHIEFLAUFSCHALTER*VG 03-5</t>
  </si>
  <si>
    <t>00670</t>
  </si>
  <si>
    <t>SL6001107</t>
  </si>
  <si>
    <t>PIKTOGRAMME FÜR FÖRDERBÄNDER</t>
  </si>
  <si>
    <t>00671</t>
  </si>
  <si>
    <t>SICHERHEITSZEICHEN*M26*A-G-SCHUTZ 100MM</t>
  </si>
  <si>
    <t>00672</t>
  </si>
  <si>
    <t>SICHERHEITSZEICHEN*M44*HELM-STAUBMAS 100</t>
  </si>
  <si>
    <t>00673</t>
  </si>
  <si>
    <t>SICHERHEITSZEICHEN*P009*AUFSTEI VERB 100</t>
  </si>
  <si>
    <t>00674</t>
  </si>
  <si>
    <t>SICHERHEITSZEICHEN*P009*AUFSTEIG VERB 50</t>
  </si>
  <si>
    <t>00675</t>
  </si>
  <si>
    <t>SICHERHEITSZEICHEN*W025*GEGENL ROLLEN 50</t>
  </si>
  <si>
    <t>00676</t>
  </si>
  <si>
    <t>SICHERHEITSZEICHEN*W74*HERAB SCHUETTG 50</t>
  </si>
  <si>
    <t>00677</t>
  </si>
  <si>
    <t>SICHERHEITSZEICHEN*SL02*UNBEF VERB SCHLÜ</t>
  </si>
  <si>
    <t>00678</t>
  </si>
  <si>
    <t>SL10106557</t>
  </si>
  <si>
    <t>1X140X80</t>
  </si>
  <si>
    <t>TYPENSCHILD*DEUTSCH ENGLISCH OHNE CE</t>
  </si>
  <si>
    <t>00679</t>
  </si>
  <si>
    <t>M006/045</t>
  </si>
  <si>
    <t>SKT-SCHR*M006/045*ISO 4017*8.8*A2K-VZ</t>
  </si>
  <si>
    <t>00680</t>
  </si>
  <si>
    <t>00681</t>
  </si>
  <si>
    <t>00682</t>
  </si>
  <si>
    <t>ELEMENT</t>
  </si>
  <si>
    <t>ILOŚĆ</t>
  </si>
  <si>
    <t>PROFIL</t>
  </si>
  <si>
    <t>POZYCJA</t>
  </si>
  <si>
    <t>RYSUNEK</t>
  </si>
  <si>
    <t>DŁUGOŚĆ</t>
  </si>
  <si>
    <t>SKOSY</t>
  </si>
  <si>
    <t>OTWORY</t>
  </si>
  <si>
    <t>TOKARZ</t>
  </si>
  <si>
    <t>MAGAZYN</t>
  </si>
  <si>
    <t>DO ZAKUPU</t>
  </si>
  <si>
    <t>Me</t>
  </si>
  <si>
    <t>Me_1</t>
  </si>
  <si>
    <t>Abmess_2</t>
  </si>
  <si>
    <t>ME.1</t>
  </si>
  <si>
    <t>Unnamed: 21</t>
  </si>
  <si>
    <t>MAGAZYN 1SZT</t>
  </si>
  <si>
    <t>wypalić z ocynku</t>
  </si>
  <si>
    <t>1 x lustro</t>
  </si>
  <si>
    <t>1 x jak pokazano</t>
  </si>
  <si>
    <t>2 x jak pokazano</t>
  </si>
  <si>
    <t>tokarz</t>
  </si>
  <si>
    <t>2 x lustro</t>
  </si>
  <si>
    <t>do uzupełnienia</t>
  </si>
  <si>
    <t>kooperacja</t>
  </si>
  <si>
    <t>bęben</t>
  </si>
  <si>
    <t>montaż</t>
  </si>
  <si>
    <t>wysyłka</t>
  </si>
  <si>
    <t>montaż 2szt/wysyłka 2szt</t>
  </si>
  <si>
    <t>montaż 4szt/wysyłka 4szt</t>
  </si>
  <si>
    <t>2050/SL6052961 - montaż</t>
  </si>
  <si>
    <t>2050/SL6052961 - wysyłka</t>
  </si>
  <si>
    <t>2x2m</t>
  </si>
  <si>
    <t>propozycja</t>
  </si>
  <si>
    <t>SL40033136_p1</t>
  </si>
  <si>
    <t>12_S235_SL40033136_p1_2st_G_1583_</t>
  </si>
  <si>
    <t>SL40033947_p1</t>
  </si>
  <si>
    <t>8_S235_SL40033947_p1_2st__3902_1</t>
  </si>
  <si>
    <t>SL40034102_p2</t>
  </si>
  <si>
    <t>5_S235_SL40034102_p2_1st_GS_3902_L_3</t>
  </si>
  <si>
    <t>SL40034102_p3</t>
  </si>
  <si>
    <t>12_S235_SL40034102_p3_1st_S_3902_7</t>
  </si>
  <si>
    <t>SL40034102_p5</t>
  </si>
  <si>
    <t>12_S235_SL40034102_p5_1st_GS_3902_L_3</t>
  </si>
  <si>
    <t>SL40034102_p7</t>
  </si>
  <si>
    <t>12_S235_SL40034102_p7_1st_GS_3902_L_3</t>
  </si>
  <si>
    <t>SL40034102_p9</t>
  </si>
  <si>
    <t>5_S235_SL40034102_p9_1st_GS_3902_L_3</t>
  </si>
  <si>
    <t>SL40034102_p10</t>
  </si>
  <si>
    <t>12_S235_SL40034102_p10_1st_S_3902_7</t>
  </si>
  <si>
    <t>SL40034102_p11</t>
  </si>
  <si>
    <t>12_S235_SL40034102_p11_1st_S_3902_7</t>
  </si>
  <si>
    <t>SL40034102_p1</t>
  </si>
  <si>
    <t>5_S235_SL40034102_p1_1st_S_3902_P_3</t>
  </si>
  <si>
    <t>SL40034102_p4</t>
  </si>
  <si>
    <t>12_S235_SL40034102_p4_1st_GS_3902_P_2</t>
  </si>
  <si>
    <t>SL40034102_p6</t>
  </si>
  <si>
    <t>12_S235_SL40034102_p6_1st_GS_3902_P_3</t>
  </si>
  <si>
    <t>SL40034102_p8</t>
  </si>
  <si>
    <t>5_S235_SL40034102_p8_1st_GS_3902_P_3</t>
  </si>
  <si>
    <t>SL40034104_p2</t>
  </si>
  <si>
    <t>3_S235_SL40034104_p2_1st_GS_3902_L_3</t>
  </si>
  <si>
    <t>SL40034104_p1</t>
  </si>
  <si>
    <t>3_S235_SL40034104_p1_1st_GS_3902_P_2</t>
  </si>
  <si>
    <t>SL40036103_p2</t>
  </si>
  <si>
    <t>3_S235_SL40036103_p2_1st_GS_3902_L_1</t>
  </si>
  <si>
    <t>SL40036103_p3</t>
  </si>
  <si>
    <t>3_S235_SL40036103_p3_1st_S_3902_8</t>
  </si>
  <si>
    <t>SL40036103_p1</t>
  </si>
  <si>
    <t>3_S235_SL40036103_p1_1st_GS_3902_P_3</t>
  </si>
  <si>
    <t>SL41034900_p1</t>
  </si>
  <si>
    <t>6_S235_SL41034900_p1_5s_GS_MG07</t>
  </si>
  <si>
    <t>SL41034900_p2</t>
  </si>
  <si>
    <t>8_S235_SL41034900_p2_10s_S_MG07</t>
  </si>
  <si>
    <t>SL41034903_p1</t>
  </si>
  <si>
    <t>3_OC_SL41034903_p1_1st_GS_3614_</t>
  </si>
  <si>
    <t>SL41034904_p1</t>
  </si>
  <si>
    <t>3_OC_SL41034904_p1_1st__3614_</t>
  </si>
  <si>
    <t>SL40034914_p1</t>
  </si>
  <si>
    <t>4_S235_SL40034914_p1_4st__3902_1</t>
  </si>
  <si>
    <t>SL40034912_p2</t>
  </si>
  <si>
    <t>5_S235_SL40034912_p2_1st_GS_3902_L_3</t>
  </si>
  <si>
    <t>SL40034912_p1</t>
  </si>
  <si>
    <t>5_S235_SL40034912_p1_1st_GS_3902_P_3</t>
  </si>
  <si>
    <t>SL40038124_p1</t>
  </si>
  <si>
    <t>5_S235_SL40038124_p1_1st_GS_3902_P</t>
  </si>
  <si>
    <t>SL40038124_p3</t>
  </si>
  <si>
    <t>5_S235_SL40038124_p3_1st_GS_3902_P_2</t>
  </si>
  <si>
    <t>SL40038124_p4</t>
  </si>
  <si>
    <t>5_S235_SL40038124_p4_1st_GS_3902_L_1</t>
  </si>
  <si>
    <t>SL40038124_p2</t>
  </si>
  <si>
    <t>5_S235_SL40038124_p2_1st_GS_3902_L</t>
  </si>
  <si>
    <t>SL41038033_p1</t>
  </si>
  <si>
    <t>4_S235_SL41038033_p1_5s_G_MG07</t>
  </si>
  <si>
    <t>SL40038126_p1</t>
  </si>
  <si>
    <t>4_S235_SL40038126_p1_2st_GS_3902_2</t>
  </si>
  <si>
    <t>SL40038126_p2</t>
  </si>
  <si>
    <t>4_S235_SL40038126_p2_2st_GS_3902_2</t>
  </si>
  <si>
    <t>SL41038035_p1</t>
  </si>
  <si>
    <t>5_S235_SL41038035_p1_5s__MG07</t>
  </si>
  <si>
    <t>SL40035905_p1</t>
  </si>
  <si>
    <t>6_S235_SL40035905_p1_1st_S_9184_</t>
  </si>
  <si>
    <t>SL40035905_p2</t>
  </si>
  <si>
    <t>6_S235_SL40035905_p2_1st_S_9184_</t>
  </si>
  <si>
    <t>SL40035907_p2</t>
  </si>
  <si>
    <t>10_S235_SL40035907_p2_1st_S_9184_</t>
  </si>
  <si>
    <t>SL40038004_p1</t>
  </si>
  <si>
    <t>2_oc_SL40038004_p1_70s_G_MG07</t>
  </si>
  <si>
    <t>SL40032904_p1</t>
  </si>
  <si>
    <t>5_S235_SL40032904_p1_40s__MG07</t>
  </si>
  <si>
    <t>SL40043211_p3</t>
  </si>
  <si>
    <t>15_S235_SL40043211_p3_1st_S_3656_</t>
  </si>
  <si>
    <t>SL40044103_p1</t>
  </si>
  <si>
    <t>4_S235_SL40044103_p1_1st_GS_3656_</t>
  </si>
  <si>
    <t>SL40044906_p1</t>
  </si>
  <si>
    <t>15_S235_SL40044906_p1_1st_S_3902_7</t>
  </si>
  <si>
    <t>SL40044904_p1</t>
  </si>
  <si>
    <t>15_S235_SL40044904_p1_1st_S_3902_6</t>
  </si>
  <si>
    <t>SL40071932_p1</t>
  </si>
  <si>
    <t>20_S235_SL40071932_p1_8st_S_3902_</t>
  </si>
  <si>
    <t>SL40044103_p2</t>
  </si>
  <si>
    <t>4_S235_SL40044103_p2_1st_GS_3656_</t>
  </si>
  <si>
    <t>SL40043901_p1</t>
  </si>
  <si>
    <t>15_S235_SL40043901_p1_2st_S_3902_4</t>
  </si>
  <si>
    <t>SL41045201_p1</t>
  </si>
  <si>
    <t>5_S235_SL41045201_p1_1st_GS_9184_</t>
  </si>
  <si>
    <t>SL41045201_p2</t>
  </si>
  <si>
    <t>2_oc_SL41045201_p2_1st_GS_9184_</t>
  </si>
  <si>
    <t>SL41045201_p3</t>
  </si>
  <si>
    <t>20_S235_SL41045201_p3_2st_SO_9184_</t>
  </si>
  <si>
    <t>SL41045201_p4</t>
  </si>
  <si>
    <t>5_S235_SL41045201_p4_2st_S_9184_</t>
  </si>
  <si>
    <t>SL41045201_p6</t>
  </si>
  <si>
    <t>3_S235_SL41045201_p6_1st_GS_9184_</t>
  </si>
  <si>
    <t>SL41045201_p7</t>
  </si>
  <si>
    <t>3_S235_SL41045201_p7_1st_GS_9184_</t>
  </si>
  <si>
    <t>SL41045203_p1</t>
  </si>
  <si>
    <t>3_oc_SL41045203_p1_2st_G_9184_</t>
  </si>
  <si>
    <t>SL40045202_p1</t>
  </si>
  <si>
    <t>5_S235_SL40045202_p1_1st_GS_3902_8</t>
  </si>
  <si>
    <t>SL40045202_p2</t>
  </si>
  <si>
    <t>15_S235_SL40045202_p2_1st_S_3902_7</t>
  </si>
  <si>
    <t>SL40045203_p1</t>
  </si>
  <si>
    <t>4_oc_SL40045203_p1_2st_G_9184_</t>
  </si>
  <si>
    <t>SL41046306_p1</t>
  </si>
  <si>
    <t>3_S235_SL41046306_p1_1st_G_9184_</t>
  </si>
  <si>
    <t>SL41046307_p1</t>
  </si>
  <si>
    <t>3_S235_SL41046307_p1_1st_G_9184_</t>
  </si>
  <si>
    <t>SL40046328_p2</t>
  </si>
  <si>
    <t>3_oc_SL40046328_p2_1st_GS_9184_L</t>
  </si>
  <si>
    <t>SL40046321_p1</t>
  </si>
  <si>
    <t>3_oc_SL40046321_p1_1st_GS_9184_P</t>
  </si>
  <si>
    <t>SL41046803_p1</t>
  </si>
  <si>
    <t>2_oc_SL41046803_p1_1st_GS_9184_</t>
  </si>
  <si>
    <t>SL40047020_p1</t>
  </si>
  <si>
    <t>3_S235_SL40047020_p1_2st_G_3902_3</t>
  </si>
  <si>
    <t>SL40062244_p1</t>
  </si>
  <si>
    <t>5_S235_SL40062244_p1_2st_G_3656_</t>
  </si>
  <si>
    <t>SL40062903_p1</t>
  </si>
  <si>
    <t>2_oc_SL40062903_p1_2st_G_1583_</t>
  </si>
  <si>
    <t>SL40062237_p1</t>
  </si>
  <si>
    <t>8_S235_SL40062237_p1_2st_GS_3656_</t>
  </si>
  <si>
    <t>SL41046805_p1</t>
  </si>
  <si>
    <t>SL40046808_p2</t>
  </si>
  <si>
    <t>SL40046808_p1</t>
  </si>
  <si>
    <t>SL40045900_p1</t>
  </si>
  <si>
    <t>15_S235_SL40045900_p1_2st__3902_</t>
  </si>
  <si>
    <t>SL40032903_p1</t>
  </si>
  <si>
    <t>15_S235_SL40032903_p1_2st__3902_</t>
  </si>
  <si>
    <t>SL40051195_p2</t>
  </si>
  <si>
    <t>SL40051195_p1</t>
  </si>
  <si>
    <t>SL41051205_p1</t>
  </si>
  <si>
    <t>SL40051402_p1</t>
  </si>
  <si>
    <t>4_S235_SL40051402_p1_2st_G_3902_2</t>
  </si>
  <si>
    <t>SL41051615_p1</t>
  </si>
  <si>
    <t>SL41051714_p1</t>
  </si>
  <si>
    <t>SL41051714_p2</t>
  </si>
  <si>
    <t>SL41051332_p1</t>
  </si>
  <si>
    <t>SL41051332_p2</t>
  </si>
  <si>
    <t>SL41051331_p1</t>
  </si>
  <si>
    <t>SL41051331_p2</t>
  </si>
  <si>
    <t>SL400521105_p1</t>
  </si>
  <si>
    <t>SL41052302_p1</t>
  </si>
  <si>
    <t>2_DC 01_SL41052302_p1_8st_G_1295_</t>
  </si>
  <si>
    <t>SL41061900_p1</t>
  </si>
  <si>
    <t>5_S235_SL41061900_p1_11st_GS_9184_D</t>
  </si>
  <si>
    <t>SL41061214_p1</t>
  </si>
  <si>
    <t>8_S235_SL41061214_p1_6st_GS_9184_</t>
  </si>
  <si>
    <t>SL41061215_p1</t>
  </si>
  <si>
    <t>5_S235_SL41061215_p1_22st_GS_9184_D</t>
  </si>
  <si>
    <t>SL40061200_p1</t>
  </si>
  <si>
    <t>5_S235_SL40061200_p1_6st_GS_9184_</t>
  </si>
  <si>
    <t>SL41061318_p1</t>
  </si>
  <si>
    <t>8_S235_SL41061318_p1_24st_GS_3614_</t>
  </si>
  <si>
    <t>SL41061319_p1</t>
  </si>
  <si>
    <t>5_S235_SL41061319_p1_24st_GS_3614_</t>
  </si>
  <si>
    <t>SL40061300_p1</t>
  </si>
  <si>
    <t>5_S235_SL40061300_p1_24st_GS_3614_</t>
  </si>
  <si>
    <t>SL41061411_p1</t>
  </si>
  <si>
    <t>8_S235_SL41061411_p1_GS_316st_1761_</t>
  </si>
  <si>
    <t>SL41061412_p1</t>
  </si>
  <si>
    <t>5_S235_SL41061412_p1_GS_316st_1761_</t>
  </si>
  <si>
    <t>SL40061400_p1</t>
  </si>
  <si>
    <t>5_S235_SL40061400_p1_GS_1st_1761_</t>
  </si>
  <si>
    <t>SL10311085_p1</t>
  </si>
  <si>
    <t>SL10311085_p2</t>
  </si>
  <si>
    <t>SL10311085_p3</t>
  </si>
  <si>
    <t>SL10311085_p4</t>
  </si>
  <si>
    <t>SL10311085_p5</t>
  </si>
  <si>
    <t>SL40062245_p2</t>
  </si>
  <si>
    <t>5_S235_SL40062245_p2_14st_G_3902_</t>
  </si>
  <si>
    <t>SL40062124_p1</t>
  </si>
  <si>
    <t>8_S235_SL40062124_p1_G</t>
  </si>
  <si>
    <t>SL40062124_p2</t>
  </si>
  <si>
    <t>8_S235_SL40062124_p2_G</t>
  </si>
  <si>
    <t>SL40062225_p1</t>
  </si>
  <si>
    <t>8_S235_SL40062225_p1_6st_G_0766_</t>
  </si>
  <si>
    <t>SL41091004_p1</t>
  </si>
  <si>
    <t>6_S235_SL41091004_p1_G</t>
  </si>
  <si>
    <t>SL41091004_p2</t>
  </si>
  <si>
    <t>6_S235_SL41091004_p2_G</t>
  </si>
  <si>
    <t>SL40071609_p1</t>
  </si>
  <si>
    <t>4_S235_SL40071609_p1_2st_GS_4001_1</t>
  </si>
  <si>
    <t>SL40071933_p1</t>
  </si>
  <si>
    <t>10_S235_SL40071933_p1_8st_S_3902_</t>
  </si>
  <si>
    <t>SL40071412_p1</t>
  </si>
  <si>
    <t>4_S235_SL40071412_p1_4st_GS_3902_</t>
  </si>
  <si>
    <t>SL40072001_p1</t>
  </si>
  <si>
    <t>8_S235_SL40072001_p1_2st_G_3902_3</t>
  </si>
  <si>
    <t>SL40072002_p1</t>
  </si>
  <si>
    <t>10_S235_SL40072002_p1_4st_S_3902_</t>
  </si>
  <si>
    <t>SL40072002_p2</t>
  </si>
  <si>
    <t>10_S235_SL40072002_p2_4st_SO_3902_</t>
  </si>
  <si>
    <t>SL10523531_p1</t>
  </si>
  <si>
    <t>10_S235_SL10523531_p1_2s_S_42025</t>
  </si>
  <si>
    <t>SL10523531_p2</t>
  </si>
  <si>
    <t>10_S235_SL10523531_p2_4s_SO_42025</t>
  </si>
  <si>
    <t>SL40091010_p1</t>
  </si>
  <si>
    <t>3_S235_SL40091010_p1_2st_G_3902_3</t>
  </si>
  <si>
    <t>SL41082134_p4</t>
  </si>
  <si>
    <t>4_S235_SL41082134_p4_4st_S_1295_</t>
  </si>
  <si>
    <t>SL41085200_p1</t>
  </si>
  <si>
    <t>2_OC_SL41085200_p1_4st_GO_6412G_Z_</t>
  </si>
  <si>
    <t>SL41085202_p1</t>
  </si>
  <si>
    <t>2_VER_SL41085202_p1_6st_G_2158_</t>
  </si>
  <si>
    <t>SL10585357_p1</t>
  </si>
  <si>
    <t>SL41085203_p1</t>
  </si>
  <si>
    <t>1_OC_SL41085203_p1_1s_GS_42025</t>
  </si>
  <si>
    <t>500173_p1</t>
  </si>
  <si>
    <t>4_S235_500173_p1_8st_G_0766_</t>
  </si>
  <si>
    <t>SL41085912_p1</t>
  </si>
  <si>
    <t>4_S235_SL41085912_p1_1s_G_42025</t>
  </si>
  <si>
    <t>SL41085912_p2</t>
  </si>
  <si>
    <t>4_S235_SL41085912_p2P_1s_GS_42025</t>
  </si>
  <si>
    <t>SL41085912_p3</t>
  </si>
  <si>
    <t>4_S235_SL41085912_p3L_1s_GS_42025</t>
  </si>
  <si>
    <t>SL41085912_p4</t>
  </si>
  <si>
    <t>4_S235_SL41085912_p4_6s_S_42025</t>
  </si>
  <si>
    <t>SL10585163_p1</t>
  </si>
  <si>
    <t>SL10585163_p2</t>
  </si>
  <si>
    <t>32201_p1</t>
  </si>
  <si>
    <t>3_OC_32201_p1_2st__6369_</t>
  </si>
  <si>
    <t>magazyn</t>
  </si>
  <si>
    <t>RYSUJ</t>
  </si>
  <si>
    <t>Z BAZY</t>
  </si>
  <si>
    <t>Nazwa_SKRÓCONA</t>
  </si>
  <si>
    <t>Bandwaage 8032500 (siehe Zeichnung SL6052961)</t>
  </si>
  <si>
    <t>KEGELRADGETRIEBEMOTOR</t>
  </si>
  <si>
    <t>11,0KW</t>
  </si>
  <si>
    <t>KH083</t>
  </si>
  <si>
    <t>43UPM</t>
  </si>
  <si>
    <t>FÖRDERGURT</t>
  </si>
  <si>
    <t>1000/52000</t>
  </si>
  <si>
    <t>EP 400/3 4+2</t>
  </si>
  <si>
    <t>T2</t>
  </si>
  <si>
    <t>OFFEN</t>
  </si>
  <si>
    <t>ST-R NTL</t>
  </si>
  <si>
    <t>406,4/10,0</t>
  </si>
  <si>
    <t>DIN 2448</t>
  </si>
  <si>
    <t>ST37.0</t>
  </si>
  <si>
    <t>BLECH</t>
  </si>
  <si>
    <t>EN 10029</t>
  </si>
  <si>
    <t>1.0122</t>
  </si>
  <si>
    <t>S235JRC</t>
  </si>
  <si>
    <t>RST BL</t>
  </si>
  <si>
    <t>EN 10278</t>
  </si>
  <si>
    <t>1.1191</t>
  </si>
  <si>
    <t>C45E</t>
  </si>
  <si>
    <t>h6</t>
  </si>
  <si>
    <t>SPANNSATZ</t>
  </si>
  <si>
    <t>DM 75/DM 115 TLK 133 5000NM</t>
  </si>
  <si>
    <t>REIBBELAG</t>
  </si>
  <si>
    <t>BB1000 DM406/422 L1150 S=8</t>
  </si>
  <si>
    <t>S355J2+N</t>
  </si>
  <si>
    <t>h9+SL</t>
  </si>
  <si>
    <t>ZYL-SCHR</t>
  </si>
  <si>
    <t xml:space="preserve"> </t>
  </si>
  <si>
    <t>DIN 7984</t>
  </si>
  <si>
    <t xml:space="preserve"> 8.8 VZ</t>
  </si>
  <si>
    <t>PASSFEDER</t>
  </si>
  <si>
    <t xml:space="preserve">A </t>
  </si>
  <si>
    <t>DIN 6885</t>
  </si>
  <si>
    <t>SKT-SCHR</t>
  </si>
  <si>
    <t>ISO 4017</t>
  </si>
  <si>
    <t>A3K-VZ</t>
  </si>
  <si>
    <t>SB</t>
  </si>
  <si>
    <t>SKT-MUTTER</t>
  </si>
  <si>
    <t>ISO 4032</t>
  </si>
  <si>
    <t>SCHEIBE</t>
  </si>
  <si>
    <t>DIN  125</t>
  </si>
  <si>
    <t>ST 300HV VZ</t>
  </si>
  <si>
    <t>STEHLAGERGEHÄUSE</t>
  </si>
  <si>
    <t>SNL517V SKF</t>
  </si>
  <si>
    <t>PENDELROLLENLAGER 22217 KEGELIGE BOHRUNG</t>
  </si>
  <si>
    <t>SPANNHÜLSE H317</t>
  </si>
  <si>
    <t>FESTRING</t>
  </si>
  <si>
    <t>150/12,5 FRB</t>
  </si>
  <si>
    <t>LAGERDECKEL</t>
  </si>
  <si>
    <t>ASNH 517</t>
  </si>
  <si>
    <t>Zweilippendichtung</t>
  </si>
  <si>
    <t>FLACHSCHMIERKOPF</t>
  </si>
  <si>
    <t xml:space="preserve">M10/1  </t>
  </si>
  <si>
    <t>DIN3404</t>
  </si>
  <si>
    <t>ST VZ</t>
  </si>
  <si>
    <t>STAUBSCHUTZKAPPE  959 rot</t>
  </si>
  <si>
    <t>1.0038</t>
  </si>
  <si>
    <t>S235JR</t>
  </si>
  <si>
    <t>M016/035</t>
  </si>
  <si>
    <t xml:space="preserve">017  A </t>
  </si>
  <si>
    <t>A2K-VZ</t>
  </si>
  <si>
    <t>M010/030</t>
  </si>
  <si>
    <t>EN 10143</t>
  </si>
  <si>
    <t>DX51D+Z</t>
  </si>
  <si>
    <t>GI-PLATTE</t>
  </si>
  <si>
    <t>A 560</t>
  </si>
  <si>
    <t>40 SH</t>
  </si>
  <si>
    <t>OHNE EINLAGE</t>
  </si>
  <si>
    <t>ISO 7089</t>
  </si>
  <si>
    <t>200 HV</t>
  </si>
  <si>
    <t>Abstreifer REMACLEAN HM-F2 BB1000</t>
  </si>
  <si>
    <t>Abstreifer REMACLEAN HM-U11 BB1000 R-70</t>
  </si>
  <si>
    <t>BLACK-STAR</t>
  </si>
  <si>
    <t>60 SH</t>
  </si>
  <si>
    <t>EXZENTERVERSCHLUSS 60450 verzinkt</t>
  </si>
  <si>
    <t>082,5/10,0</t>
  </si>
  <si>
    <t>EN 10220</t>
  </si>
  <si>
    <t>S355J2H</t>
  </si>
  <si>
    <t xml:space="preserve">M012    </t>
  </si>
  <si>
    <t xml:space="preserve">  </t>
  </si>
  <si>
    <t>DIN  929</t>
  </si>
  <si>
    <t>KL 8</t>
  </si>
  <si>
    <t>ISO 4035</t>
  </si>
  <si>
    <t>057,0/08,0</t>
  </si>
  <si>
    <t>GEWINDESTANGE</t>
  </si>
  <si>
    <t xml:space="preserve">M24 </t>
  </si>
  <si>
    <t>DIN  975</t>
  </si>
  <si>
    <t>EN 10131</t>
  </si>
  <si>
    <t>1.0330</t>
  </si>
  <si>
    <t>DC 01</t>
  </si>
  <si>
    <t>323,9/08,0</t>
  </si>
  <si>
    <t>ST35.0</t>
  </si>
  <si>
    <t>1.0503</t>
  </si>
  <si>
    <t>C45</t>
  </si>
  <si>
    <t>h6+SL</t>
  </si>
  <si>
    <t>DM 50/DM80 TLK 133 1830NM</t>
  </si>
  <si>
    <t>M016/080</t>
  </si>
  <si>
    <t>DIN  434</t>
  </si>
  <si>
    <t>VZ</t>
  </si>
  <si>
    <t>SNL 511-609 SKF</t>
  </si>
  <si>
    <t>PENDELROLLENLAGER</t>
  </si>
  <si>
    <t>22211 KEGELIGE BOHRUNG</t>
  </si>
  <si>
    <t>Spannhülse ISB DIN5415</t>
  </si>
  <si>
    <t>FRB 9,5/100 -40 GRAD</t>
  </si>
  <si>
    <t>Lagerdeckel</t>
  </si>
  <si>
    <t>U-STAHL</t>
  </si>
  <si>
    <t>UNP 120</t>
  </si>
  <si>
    <t>EN 10279</t>
  </si>
  <si>
    <t>VKTST GW</t>
  </si>
  <si>
    <t>EN 10059</t>
  </si>
  <si>
    <t>L-STAHL</t>
  </si>
  <si>
    <t>050/050/05</t>
  </si>
  <si>
    <t>EN 10056</t>
  </si>
  <si>
    <t>040/040/04</t>
  </si>
  <si>
    <t>h11</t>
  </si>
  <si>
    <t>LEITGOSSENGUMMI</t>
  </si>
  <si>
    <t>50/10 MM 45 SHORE</t>
  </si>
  <si>
    <t>VKT-SCHEIBE</t>
  </si>
  <si>
    <t>ST , VZ</t>
  </si>
  <si>
    <t>BLINDNIETMUTTER</t>
  </si>
  <si>
    <t>1-3,5</t>
  </si>
  <si>
    <t>SENKKOPF</t>
  </si>
  <si>
    <t>A2K</t>
  </si>
  <si>
    <t>Gittermatte 30x30x3</t>
  </si>
  <si>
    <t>040/040/05</t>
  </si>
  <si>
    <t>ISO 7094</t>
  </si>
  <si>
    <t>200HV</t>
  </si>
  <si>
    <t>UB-ROLLE  89/20    X 1150  SW15</t>
  </si>
  <si>
    <t>SEITL. FÜHRUNGSROLLE    M 20</t>
  </si>
  <si>
    <t>4,5-6</t>
  </si>
  <si>
    <t>200/10 MM 45 SHORE</t>
  </si>
  <si>
    <t>BLINDNIETE</t>
  </si>
  <si>
    <t xml:space="preserve">5,0/08  </t>
  </si>
  <si>
    <t>DIN 7337</t>
  </si>
  <si>
    <t>AL/VZ</t>
  </si>
  <si>
    <t>FLACHR-SCHR</t>
  </si>
  <si>
    <t>DIN  603</t>
  </si>
  <si>
    <t>M016/045</t>
  </si>
  <si>
    <t>DIN 125</t>
  </si>
  <si>
    <t>ISO 4014</t>
  </si>
  <si>
    <t>ST200HV A4</t>
  </si>
  <si>
    <t>DIN 9021</t>
  </si>
  <si>
    <t>140HV VZ</t>
  </si>
  <si>
    <t xml:space="preserve">   VZ</t>
  </si>
  <si>
    <t>LI</t>
  </si>
  <si>
    <t>090/090/09</t>
  </si>
  <si>
    <t>UNP 100</t>
  </si>
  <si>
    <t>I-STAHL</t>
  </si>
  <si>
    <t>IPE 120</t>
  </si>
  <si>
    <t>EN 10034</t>
  </si>
  <si>
    <t>100/100/10</t>
  </si>
  <si>
    <t>UNP 080</t>
  </si>
  <si>
    <t>A2</t>
  </si>
  <si>
    <t>100HV</t>
  </si>
  <si>
    <t>BLECHSCHRAUBE</t>
  </si>
  <si>
    <t>K 6,3x19 DIN 7504</t>
  </si>
  <si>
    <t>M008/035</t>
  </si>
  <si>
    <t>STVZ</t>
  </si>
  <si>
    <t>100/10 MM 45 SHORE</t>
  </si>
  <si>
    <t>OB-ROLLE  108/20   X 380  SW15</t>
  </si>
  <si>
    <t>SEITLICHE FUEHRUNGSROLLE</t>
  </si>
  <si>
    <t>SEILZUGNOTSCHALTER LIFELINE 4 ohne NA-Knopf</t>
  </si>
  <si>
    <t>SPANNVORRICHTUNG      SEIL 4mm</t>
  </si>
  <si>
    <t>AUGENSCHR</t>
  </si>
  <si>
    <t>M012/100</t>
  </si>
  <si>
    <t>DIN  444</t>
  </si>
  <si>
    <t xml:space="preserve"> 4.6 VZ</t>
  </si>
  <si>
    <t>SEILHAKEN</t>
  </si>
  <si>
    <t>SEIL 4 (1 Stk.)</t>
  </si>
  <si>
    <t>REISSLEINE     4mm (0,15")</t>
  </si>
  <si>
    <t>ZUGFEDER  DURCHM. 19mm</t>
  </si>
  <si>
    <t>SCHAUKELHAKEN zu HEN001 M10</t>
  </si>
  <si>
    <t>NAEHERUNGSSENSOR</t>
  </si>
  <si>
    <t>M30</t>
  </si>
  <si>
    <t>NBB15-30GM50-A2-V1</t>
  </si>
  <si>
    <t>KABELDOSE</t>
  </si>
  <si>
    <t>M12</t>
  </si>
  <si>
    <t>4 POL</t>
  </si>
  <si>
    <t>V1-W-15M-PUR</t>
  </si>
  <si>
    <t>P+F</t>
  </si>
  <si>
    <t>150/10 MM</t>
  </si>
  <si>
    <t>60 SHORE</t>
  </si>
  <si>
    <t>HB</t>
  </si>
  <si>
    <t>ELEKTROROHR</t>
  </si>
  <si>
    <t>SALR 32</t>
  </si>
  <si>
    <t>3 METER</t>
  </si>
  <si>
    <t xml:space="preserve"> FA.DIETZEL</t>
  </si>
  <si>
    <t>KOMFORTSCHELLE MPN-S 1" A</t>
  </si>
  <si>
    <t>ENDTUELLE</t>
  </si>
  <si>
    <t>STAPA</t>
  </si>
  <si>
    <t>ABSTANDSSCHELLE (ROHRSCHELLE)</t>
  </si>
  <si>
    <t>BEFESTIGUNGSSCHELLE</t>
  </si>
  <si>
    <t>CADDY 4H 24 (3-8MM)</t>
  </si>
  <si>
    <t>M06  /020</t>
  </si>
  <si>
    <t>DIN   84</t>
  </si>
  <si>
    <t xml:space="preserve"> 4.6</t>
  </si>
  <si>
    <t>SCHIEFLAUFSCHALTER</t>
  </si>
  <si>
    <t>VG 03-5</t>
  </si>
  <si>
    <t>SICHERHEITSZEICHEN</t>
  </si>
  <si>
    <t>M26</t>
  </si>
  <si>
    <t>A-G-SCHUTZ 100MM</t>
  </si>
  <si>
    <t>M44</t>
  </si>
  <si>
    <t>HELM-STAUBMAS 100</t>
  </si>
  <si>
    <t>P009</t>
  </si>
  <si>
    <t>AUFSTEI VERB 100</t>
  </si>
  <si>
    <t>AUFSTEIG VERB 50</t>
  </si>
  <si>
    <t>W025</t>
  </si>
  <si>
    <t>GEGENL ROLLEN 50</t>
  </si>
  <si>
    <t>W74</t>
  </si>
  <si>
    <t>HERAB SCHUETTG 50</t>
  </si>
  <si>
    <t>SL02</t>
  </si>
  <si>
    <t>UNBEF VERB SCHLÜ</t>
  </si>
  <si>
    <t>TYPENSCHILD</t>
  </si>
  <si>
    <t>DEUTSCH ENGLISCH OHNE CE</t>
  </si>
  <si>
    <t>DC01</t>
  </si>
  <si>
    <t>S235</t>
  </si>
  <si>
    <t>OC</t>
  </si>
  <si>
    <t>oc</t>
  </si>
  <si>
    <t>p1</t>
  </si>
  <si>
    <t>2st</t>
  </si>
  <si>
    <t>G</t>
  </si>
  <si>
    <t>p2</t>
  </si>
  <si>
    <t>1st</t>
  </si>
  <si>
    <t>GS</t>
  </si>
  <si>
    <t>p3</t>
  </si>
  <si>
    <t>p5</t>
  </si>
  <si>
    <t>p7</t>
  </si>
  <si>
    <t>p9</t>
  </si>
  <si>
    <t>p10</t>
  </si>
  <si>
    <t>p11</t>
  </si>
  <si>
    <t>P</t>
  </si>
  <si>
    <t>p4</t>
  </si>
  <si>
    <t>p6</t>
  </si>
  <si>
    <t>p8</t>
  </si>
  <si>
    <t>5s</t>
  </si>
  <si>
    <t>MG07</t>
  </si>
  <si>
    <t>10s</t>
  </si>
  <si>
    <t>4st</t>
  </si>
  <si>
    <t>70s</t>
  </si>
  <si>
    <t>40s</t>
  </si>
  <si>
    <t>8st</t>
  </si>
  <si>
    <t>SO</t>
  </si>
  <si>
    <t>11st</t>
  </si>
  <si>
    <t>D</t>
  </si>
  <si>
    <t>6st</t>
  </si>
  <si>
    <t>22st</t>
  </si>
  <si>
    <t>24st</t>
  </si>
  <si>
    <t>14st</t>
  </si>
  <si>
    <t>2s</t>
  </si>
  <si>
    <t>4s</t>
  </si>
  <si>
    <t>GO</t>
  </si>
  <si>
    <t>6412G</t>
  </si>
  <si>
    <t>Z</t>
  </si>
  <si>
    <t>VER</t>
  </si>
  <si>
    <t>1s</t>
  </si>
  <si>
    <t>p2P</t>
  </si>
  <si>
    <t>p3L</t>
  </si>
  <si>
    <t>6s</t>
  </si>
  <si>
    <t>MAGAZYN 1SZT/2</t>
  </si>
  <si>
    <t>Etykiety wierszy</t>
  </si>
  <si>
    <t>(puste)</t>
  </si>
  <si>
    <t>Suma końcowa</t>
  </si>
  <si>
    <t>Nazwa</t>
  </si>
  <si>
    <t>lustro</t>
  </si>
  <si>
    <t>jak narysowano</t>
  </si>
  <si>
    <t>12_S235_SL40033136_p1_1st_G_2050_</t>
  </si>
  <si>
    <t>8_S235_SL40033947_p1_2st__2050_</t>
  </si>
  <si>
    <t>5_S235_SL40034102_p2_1st__2050_</t>
  </si>
  <si>
    <t>12_S235_SL40034102_p3_1st__2050_</t>
  </si>
  <si>
    <t>12_S235_SL40034102_p5_1st__2050_</t>
  </si>
  <si>
    <t>12_S235_SL40034102_p7_1st__2050_</t>
  </si>
  <si>
    <t>5_S235_SL40034102_p9_1st__2050_</t>
  </si>
  <si>
    <t>12_S235_SL40034102_p10_1st__2050_</t>
  </si>
  <si>
    <t>12_S235_SL40034102_p11_1st__2050_</t>
  </si>
  <si>
    <t>5_S235_SL40034102_p1_1st__2050_</t>
  </si>
  <si>
    <t>12_S235_SL40034102_p4_1st__2050_</t>
  </si>
  <si>
    <t>12_S235_SL40034102_p6_1st__2050_</t>
  </si>
  <si>
    <t>5_S235_SL40034102_p8_1st__2050_</t>
  </si>
  <si>
    <t>3_S235_SL40034104_p2_1st_GS_2050_L</t>
  </si>
  <si>
    <t>3_S235_SL40034104_p1_1st__2050_</t>
  </si>
  <si>
    <t>3_S235_SL40036103_p2_1st_GS_2050_L</t>
  </si>
  <si>
    <t>3_S235_SL40036103_p3_1st_S_2050_</t>
  </si>
  <si>
    <t>3_S235_SL40036103_p1_1st_GS_2050_P</t>
  </si>
  <si>
    <t>6_S235_SL41034900_p1_1st__2050_</t>
  </si>
  <si>
    <t>8_S235_SL41034900_p2_2st__2050_</t>
  </si>
  <si>
    <t>3_oc_SL41034903_p1_1st__2050_</t>
  </si>
  <si>
    <t>3_oc_SL41034904_p1_1st__2050_</t>
  </si>
  <si>
    <t>4_S235_SL40034914_p1_4st__2050_</t>
  </si>
  <si>
    <t>5_S235_SL40034912_p2_1st__2050_</t>
  </si>
  <si>
    <t>5_S235_SL40034912_p1_1st__2050_</t>
  </si>
  <si>
    <t>5_S235_SL40038124_p1_1st__2050_</t>
  </si>
  <si>
    <t>5_S235_SL40038124_p3_1st__2050_</t>
  </si>
  <si>
    <t>5_S235_SL40038124_p4_1st__2050_</t>
  </si>
  <si>
    <t>5_S235_SL40038124_p2_1st__2050_</t>
  </si>
  <si>
    <t>4_S235_SL41038033_p1_1st__2050_</t>
  </si>
  <si>
    <t>4_S235_SL40038126_p1_2st__2050_</t>
  </si>
  <si>
    <t>4_S235_SL40038126_p2_2st__2050_</t>
  </si>
  <si>
    <t>5_S235_SL41038035_p1_1st__2050_</t>
  </si>
  <si>
    <t>6_S235_SL40035905_p1_1st_S_2050_</t>
  </si>
  <si>
    <t>6_S235_SL40035905_p2_1st_S_2050_</t>
  </si>
  <si>
    <t>10_S235_SL40035907_p2_1st_S_2050_</t>
  </si>
  <si>
    <t>2_DC01_SL40038004_p1_2st__2050_</t>
  </si>
  <si>
    <t>5_S235_SL40032904_p1_2st__2050_</t>
  </si>
  <si>
    <t>15_S235_SL40043211_p3_1st__2050_</t>
  </si>
  <si>
    <t>4_S235_SL40044103_p1_1st_GS_2050_P</t>
  </si>
  <si>
    <t>15_S235_SL40044906_p1_1st_S_2050_</t>
  </si>
  <si>
    <t>15_S235_SL40044904_p1_1st_S_2050_</t>
  </si>
  <si>
    <t>20_S235_SL40071932_p1_1st_S_2050_</t>
  </si>
  <si>
    <t>4_S235_SL40044103_p2_1st_GS_2050_L</t>
  </si>
  <si>
    <t>15_S235_SL40043901_p1_2st__2050_</t>
  </si>
  <si>
    <t>5_S235_SL41045201_p1_1st__2050_</t>
  </si>
  <si>
    <t>2_oc_SL41045201_p2_1st__2050_</t>
  </si>
  <si>
    <t>20_S235_SL41045201_p3_2st__2050_</t>
  </si>
  <si>
    <t>5_S235_SL41045201_p4_2st__2050_</t>
  </si>
  <si>
    <t>3_S235_SL41045201_p6_1st__2050_</t>
  </si>
  <si>
    <t>3_S235_SL41045201_p7_1st__2050_</t>
  </si>
  <si>
    <t>3_oc_SL41045203_p1_2st_G_2050_</t>
  </si>
  <si>
    <t>5_S235_SL40045202_p1_1st_GS_2050_</t>
  </si>
  <si>
    <t>15_S235_SL40045202_p2_1st_S_2050_</t>
  </si>
  <si>
    <t>4_oc_SL40045203_p1_2st__2050_</t>
  </si>
  <si>
    <t>3_S235_SL41046306_p1_1st__2050_</t>
  </si>
  <si>
    <t>3_S235_SL41046307_p1_1st_G_2050_</t>
  </si>
  <si>
    <t>3_oc_SL40046328_p2_1st__2050_</t>
  </si>
  <si>
    <t>3_oc_SL40046321_p1_1st__2050_</t>
  </si>
  <si>
    <t>2_oc_SL41046803_p1_1st__2050_</t>
  </si>
  <si>
    <t>3_S235_SL40047020_p1_2st_G_2050_</t>
  </si>
  <si>
    <t>5_S235_SL40062244_p1_2st__2050_</t>
  </si>
  <si>
    <t>2_oc_SL40062903_p1_2st_G_2050_</t>
  </si>
  <si>
    <t>8_S235_SL40062237_p1_2st_GS_2050_</t>
  </si>
  <si>
    <t>2_oc_SL41046805_p1_1st_G_2050_</t>
  </si>
  <si>
    <t>2_oc_SL40046808_p2_1st_G_2050_L</t>
  </si>
  <si>
    <t>2_oc_SL40046808_p1_1st_G_2050_P</t>
  </si>
  <si>
    <t>15_S235_SL40045900_p1_4st__2050_</t>
  </si>
  <si>
    <t>15_S235_SL40032903_p1_4st__2050_</t>
  </si>
  <si>
    <t>3_S235_SL40051195_p2_1st_G_2050_L</t>
  </si>
  <si>
    <t>3_S235_SL40051195_p1_1st_G_2050_P</t>
  </si>
  <si>
    <t>5_S235_SL41051205_p1_4st_GS_2050_</t>
  </si>
  <si>
    <t>4_S235_SL40051402_p1_2st__2050_</t>
  </si>
  <si>
    <t>3_S235_SL41051615_p1_1st_G_2050_</t>
  </si>
  <si>
    <t>4_S235_SL41051714_p1_1st_G_2050_</t>
  </si>
  <si>
    <t>4_S235_SL41051714_p2_1st__2050_</t>
  </si>
  <si>
    <t>2_oc_SL41051332_p1_1st_G_2050_</t>
  </si>
  <si>
    <t>1,5_DC01_SL41051332_p2_1st__2050_</t>
  </si>
  <si>
    <t>2_oc_SL41051331_p1_1st_G_2050_</t>
  </si>
  <si>
    <t>1,5_DC01_SL41051331_p2_1st__2050_</t>
  </si>
  <si>
    <t>3_S235_SL400521105_p1_22st_G_2050_</t>
  </si>
  <si>
    <t>4_S235_SL40051402_p1_22st__2050_</t>
  </si>
  <si>
    <t>5_S235_SL41051205_p1_44st_GS_2050_</t>
  </si>
  <si>
    <t>2_DC01_SL41052302_p1_22st_G_2050_</t>
  </si>
  <si>
    <t>5_S235_SL41061900_p1_2st__2050_</t>
  </si>
  <si>
    <t>8_S235_SL41061214_p1_4st__2050_</t>
  </si>
  <si>
    <t>5_S235_SL41061215_p1_4st__2050_</t>
  </si>
  <si>
    <t>5_S235_SL40061200_p1_4st__2050_</t>
  </si>
  <si>
    <t>8_S235_SL41061318_p1_4st__2050_</t>
  </si>
  <si>
    <t>5_S235_SL41061319_p1_4st__2050_</t>
  </si>
  <si>
    <t>5_S235_SL40061300_p1_4st__2050_</t>
  </si>
  <si>
    <t>5_S235_SL41061900_p1_24st_GS_2050_</t>
  </si>
  <si>
    <t>8_S235_SL41061411_p1_48st_GS_2050_</t>
  </si>
  <si>
    <t>5_S235_SL41061412_p1_48st_GS_2050_</t>
  </si>
  <si>
    <t>5_S235_SL40061400_p1_48st_GS_2050_</t>
  </si>
  <si>
    <t>5_S235_SL10311085_p1_1st_GS_2050_</t>
  </si>
  <si>
    <t>8_S235_SL10311085_p2_2st_GS_2050_</t>
  </si>
  <si>
    <t>5_S235_SL10311085_p3_2st_S_2050_</t>
  </si>
  <si>
    <t>5_S235_SL10311085_p4_2st_GS_2050_</t>
  </si>
  <si>
    <t>5_S235_SL10311085_p5_2st_S_2050_</t>
  </si>
  <si>
    <t>5_S235_SL40062245_p2_14st__2050_</t>
  </si>
  <si>
    <t>8_S235_SL40062124_p1_2st_G_2050_P</t>
  </si>
  <si>
    <t>8_S235_SL40062124_p2_2st_G_2050_L</t>
  </si>
  <si>
    <t>8_S235_SL40062225_p1_2st__2050_</t>
  </si>
  <si>
    <t>6_S235_SL41091004_p1_2st_G_2050_P</t>
  </si>
  <si>
    <t>6_S235_SL41091004_p2_2st_G_2050_L</t>
  </si>
  <si>
    <t>4_S235_SL40071609_p1_6st__2050_</t>
  </si>
  <si>
    <t>20_S235_SL40071932_p1_12st__2050_</t>
  </si>
  <si>
    <t>10_S235_SL40071933_p1_18st__2050_</t>
  </si>
  <si>
    <t>4_S235_SL40071412_p1_2st__2050_</t>
  </si>
  <si>
    <t>20_S235_SL40071932_p1_4st__2050_</t>
  </si>
  <si>
    <t>10_S235_SL40071933_p1_4st__2050_</t>
  </si>
  <si>
    <t>8_S235_SL40072001_p1_2st__2050_</t>
  </si>
  <si>
    <t>10_S235_SL40072002_p1_4st__2050_</t>
  </si>
  <si>
    <t>10_S235_SL40072002_p2_4st__2050_</t>
  </si>
  <si>
    <t>10_S235_SL10523531_p1_1st_S_2050_</t>
  </si>
  <si>
    <t>10_S235_SL10523531_p2_2st_SO_2050_</t>
  </si>
  <si>
    <t>3_S235_SL40091010_p1_2st_G_2050_</t>
  </si>
  <si>
    <t>4_S235_SL41082134_p4_4st_S_2050_</t>
  </si>
  <si>
    <t>2_oc_SL41085200_p1_10st_GO_2050_</t>
  </si>
  <si>
    <t>2_oc_SL41085202_p1_1st_G_2050_</t>
  </si>
  <si>
    <t>2_DC01_SL10585357_p1_1st_G_2050_</t>
  </si>
  <si>
    <t>1_oc_SL41085203_p1_1st_GS_2050_</t>
  </si>
  <si>
    <t>4_S235_500173_p1_48st__2050_</t>
  </si>
  <si>
    <t>4_S235_SL41085912_p1_1st_G_2050_</t>
  </si>
  <si>
    <t>4_S235_SL41085912_p2_1st_G_2050_P</t>
  </si>
  <si>
    <t>4_S235_SL41085912_p3_1st_G_2050_L</t>
  </si>
  <si>
    <t>4_S235_SL41085912_p4_6st_S_2050_</t>
  </si>
  <si>
    <t>3_S235_SL10585163_p1_1st_G_2050_</t>
  </si>
  <si>
    <t>3_S235_SL10585163_p2_1st_G_2050_</t>
  </si>
  <si>
    <t>3_oc_32201_p1_8st__2050_</t>
  </si>
  <si>
    <t>apNAZWA</t>
  </si>
  <si>
    <t>apsposób gięcia</t>
  </si>
  <si>
    <t>apGięcie</t>
  </si>
  <si>
    <t>apDODATKOWA KOLUMNA</t>
  </si>
  <si>
    <t>1x lustro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</si>
</sst>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color theme="8" tint="0.39997558519241921"/>
      <name val="BankGothic Lt BT"/>
    </font>
    <font>
      <sz val="11"/>
      <color theme="1"/>
      <name val="Calibri"/>
      <family val="2"/>
      <charset val="238"/>
    </font>
    <font>
      <b/>
      <sz val="11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sz val="11"/>
      <color rgb="FFFF0000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D1D1D1"/>
        <bgColor rgb="FFD1D1D1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medium">
        <color rgb="FF000000"/>
      </top>
      <bottom style="hair">
        <color indexed="64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/>
      <bottom style="hair">
        <color indexed="64"/>
      </bottom>
      <diagonal/>
    </border>
    <border>
      <left style="hair">
        <color rgb="FF000000"/>
      </left>
      <right style="hair">
        <color rgb="FF000000"/>
      </right>
      <top/>
      <bottom style="hair">
        <color indexed="64"/>
      </bottom>
      <diagonal/>
    </border>
    <border>
      <left style="hair">
        <color rgb="FF000000"/>
      </left>
      <right style="medium">
        <color indexed="64"/>
      </right>
      <top/>
      <bottom style="hair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hair">
        <color rgb="FF000000"/>
      </right>
      <top style="hair">
        <color indexed="64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8"/>
  </cellStyleXfs>
  <cellXfs count="86">
    <xf numFmtId="0" fontId="0" fillId="0" borderId="0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4" fillId="0" borderId="6" xfId="0" applyFont="1" applyBorder="1"/>
    <xf numFmtId="0" fontId="1" fillId="4" borderId="7" xfId="0" applyFont="1" applyFill="1" applyBorder="1" applyAlignment="1">
      <alignment horizontal="right"/>
    </xf>
    <xf numFmtId="0" fontId="4" fillId="4" borderId="8" xfId="0" applyFont="1" applyFill="1"/>
    <xf numFmtId="0" fontId="1" fillId="0" borderId="9" xfId="0" applyFont="1" applyBorder="1"/>
    <xf numFmtId="0" fontId="1" fillId="0" borderId="10" xfId="0" applyFont="1" applyBorder="1"/>
    <xf numFmtId="0" fontId="5" fillId="0" borderId="10" xfId="0" applyFont="1" applyBorder="1" applyAlignment="1">
      <alignment wrapText="1"/>
    </xf>
    <xf numFmtId="0" fontId="4" fillId="0" borderId="10" xfId="0" applyFont="1" applyBorder="1"/>
    <xf numFmtId="0" fontId="1" fillId="0" borderId="11" xfId="0" applyFont="1" applyBorder="1"/>
    <xf numFmtId="0" fontId="4" fillId="5" borderId="12" xfId="0" applyFont="1" applyFill="1" applyBorder="1"/>
    <xf numFmtId="0" fontId="4" fillId="5" borderId="13" xfId="0" applyFont="1" applyFill="1" applyBorder="1"/>
    <xf numFmtId="0" fontId="4" fillId="5" borderId="14" xfId="0" applyFont="1" applyFill="1" applyBorder="1"/>
    <xf numFmtId="0" fontId="4" fillId="5" borderId="8" xfId="0" applyFont="1" applyFill="1"/>
    <xf numFmtId="0" fontId="4" fillId="6" borderId="12" xfId="0" applyFont="1" applyFill="1" applyBorder="1" applyAlignment="1">
      <alignment vertical="center"/>
    </xf>
    <xf numFmtId="0" fontId="4" fillId="6" borderId="13" xfId="0" applyFont="1" applyFill="1" applyBorder="1" applyAlignment="1">
      <alignment vertical="center"/>
    </xf>
    <xf numFmtId="0" fontId="4" fillId="6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0" fontId="4" fillId="6" borderId="14" xfId="0" applyFont="1" applyFill="1" applyBorder="1" applyAlignment="1">
      <alignment vertical="center"/>
    </xf>
    <xf numFmtId="0" fontId="4" fillId="0" borderId="8" xfId="0" applyFont="1" applyAlignment="1">
      <alignment vertical="center"/>
    </xf>
    <xf numFmtId="0" fontId="1" fillId="6" borderId="12" xfId="0" applyFont="1" applyFill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0" fontId="1" fillId="6" borderId="14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/>
    </xf>
    <xf numFmtId="0" fontId="6" fillId="0" borderId="8" xfId="0" applyFont="1" applyAlignment="1">
      <alignment vertical="center"/>
    </xf>
    <xf numFmtId="0" fontId="6" fillId="6" borderId="12" xfId="0" applyFont="1" applyFill="1" applyBorder="1" applyAlignment="1">
      <alignment vertical="center"/>
    </xf>
    <xf numFmtId="0" fontId="6" fillId="6" borderId="13" xfId="0" applyFont="1" applyFill="1" applyBorder="1" applyAlignment="1">
      <alignment vertical="center"/>
    </xf>
    <xf numFmtId="0" fontId="6" fillId="6" borderId="13" xfId="0" applyFont="1" applyFill="1" applyBorder="1" applyAlignment="1">
      <alignment vertical="center" wrapText="1"/>
    </xf>
    <xf numFmtId="0" fontId="6" fillId="6" borderId="14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5" borderId="8" xfId="0" applyFont="1" applyFill="1" applyAlignment="1">
      <alignment vertical="center"/>
    </xf>
    <xf numFmtId="0" fontId="1" fillId="5" borderId="12" xfId="0" applyFont="1" applyFill="1" applyBorder="1" applyAlignment="1">
      <alignment vertical="center"/>
    </xf>
    <xf numFmtId="0" fontId="1" fillId="5" borderId="13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4" fillId="6" borderId="12" xfId="0" applyFont="1" applyFill="1" applyBorder="1"/>
    <xf numFmtId="0" fontId="4" fillId="6" borderId="13" xfId="0" applyFont="1" applyFill="1" applyBorder="1"/>
    <xf numFmtId="0" fontId="4" fillId="0" borderId="13" xfId="0" applyFont="1" applyBorder="1"/>
    <xf numFmtId="0" fontId="4" fillId="6" borderId="14" xfId="0" applyFont="1" applyFill="1" applyBorder="1"/>
    <xf numFmtId="0" fontId="4" fillId="6" borderId="15" xfId="0" applyFont="1" applyFill="1" applyBorder="1"/>
    <xf numFmtId="0" fontId="4" fillId="6" borderId="16" xfId="0" applyFont="1" applyFill="1" applyBorder="1"/>
    <xf numFmtId="0" fontId="4" fillId="0" borderId="16" xfId="0" applyFont="1" applyBorder="1"/>
    <xf numFmtId="0" fontId="4" fillId="6" borderId="17" xfId="0" applyFont="1" applyFill="1" applyBorder="1"/>
    <xf numFmtId="0" fontId="7" fillId="0" borderId="0" xfId="0" applyFont="1" applyBorder="1"/>
    <xf numFmtId="0" fontId="8" fillId="7" borderId="18" xfId="0" applyFont="1" applyFill="1" applyBorder="1"/>
    <xf numFmtId="0" fontId="0" fillId="0" borderId="18" xfId="0" applyBorder="1"/>
    <xf numFmtId="0" fontId="8" fillId="8" borderId="18" xfId="0" applyFont="1" applyFill="1" applyBorder="1"/>
    <xf numFmtId="0" fontId="8" fillId="7" borderId="20" xfId="0" applyFont="1" applyFill="1" applyBorder="1"/>
    <xf numFmtId="0" fontId="0" fillId="0" borderId="8" xfId="0"/>
    <xf numFmtId="0" fontId="8" fillId="7" borderId="19" xfId="0" applyFont="1" applyFill="1" applyBorder="1"/>
    <xf numFmtId="0" fontId="0" fillId="0" borderId="19" xfId="0" applyBorder="1"/>
    <xf numFmtId="0" fontId="8" fillId="7" borderId="18" xfId="0" applyFont="1" applyFill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0" xfId="0" applyBorder="1" applyAlignment="1">
      <alignment wrapText="1"/>
    </xf>
    <xf numFmtId="0" fontId="9" fillId="0" borderId="0" xfId="0" applyFont="1" applyBorder="1" applyAlignment="1">
      <alignment horizontal="center"/>
    </xf>
    <xf numFmtId="0" fontId="10" fillId="0" borderId="0" xfId="0" applyFont="1" applyBorder="1"/>
    <xf numFmtId="0" fontId="0" fillId="0" borderId="19" xfId="0" applyBorder="1" applyAlignment="1">
      <alignment horizontal="left"/>
    </xf>
    <xf numFmtId="0" fontId="0" fillId="0" borderId="19" xfId="0" applyBorder="1" applyAlignment="1">
      <alignment horizontal="left" wrapText="1"/>
    </xf>
    <xf numFmtId="0" fontId="8" fillId="0" borderId="19" xfId="0" applyFont="1" applyBorder="1"/>
    <xf numFmtId="0" fontId="8" fillId="0" borderId="19" xfId="0" applyFont="1" applyBorder="1" applyAlignment="1">
      <alignment wrapText="1"/>
    </xf>
    <xf numFmtId="16" fontId="0" fillId="0" borderId="0" xfId="0" applyNumberFormat="1" applyBorder="1"/>
    <xf numFmtId="0" fontId="0" fillId="0" borderId="0" xfId="0" pivotButton="1" applyBorder="1"/>
    <xf numFmtId="0" fontId="0" fillId="0" borderId="0" xfId="0" applyBorder="1" applyAlignment="1">
      <alignment horizontal="left"/>
    </xf>
    <xf numFmtId="0" fontId="0" fillId="4" borderId="0" xfId="0" applyFill="1" applyBorder="1"/>
    <xf numFmtId="0" fontId="4" fillId="4" borderId="12" xfId="0" applyFont="1" applyFill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0" fillId="4" borderId="8" xfId="0" applyFill="1"/>
    <xf numFmtId="0" fontId="4" fillId="4" borderId="8" xfId="0" applyFont="1" applyFill="1" applyAlignment="1">
      <alignment vertical="center"/>
    </xf>
    <xf numFmtId="0" fontId="6" fillId="4" borderId="13" xfId="0" applyFont="1" applyFill="1" applyBorder="1" applyAlignment="1">
      <alignment vertical="center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łomiej Kucaba" refreshedDate="46167.263117361108" createdVersion="8" refreshedVersion="8" minRefreshableVersion="3" recordCount="41" xr:uid="{0ADF1E0D-77DE-4BB3-AEEE-1314CEB06D9A}">
  <cacheSource type="worksheet">
    <worksheetSource ref="A1:A42" sheet="Arkusz1"/>
  </cacheSource>
  <cacheFields count="1">
    <cacheField name="propozycja" numFmtId="0">
      <sharedItems containsBlank="1" count="31">
        <s v="12_S235_SL40033136_p1_2st_G_1583_"/>
        <s v="8_S235_SL40033947_p1_2st__3902_1"/>
        <s v="3_S235_SL40036103_p3_1st_S_3902_8"/>
        <s v="6_S235_SL40035905_p1_1st_S_9184_"/>
        <s v="6_S235_SL40035905_p2_1st_S_9184_"/>
        <s v="10_S235_SL40035907_p2_1st_S_9184_"/>
        <s v="15_S235_SL40044906_p1_1st_S_3902_7"/>
        <s v="15_S235_SL40044904_p1_1st_S_3902_6"/>
        <s v="20_S235_SL40071932_p1_8st_S_3902_"/>
        <s v="3_oc_SL41045203_p1_2st_G_9184_"/>
        <s v="5_S235_SL40045202_p1_1st_GS_3902_8"/>
        <s v="15_S235_SL40045202_p2_1st_S_3902_7"/>
        <s v="3_S235_SL41046307_p1_1st_G_9184_"/>
        <s v="3_S235_SL40047020_p1_2st_G_3902_3"/>
        <s v="2_oc_SL40062903_p1_2st_G_1583_"/>
        <s v="8_S235_SL40062237_p1_2st_GS_3656_"/>
        <s v="2_DC 01_SL41052302_p1_8st_G_1295_"/>
        <s v="5_S235_SL41061900_p1_11st_GS_9184_D"/>
        <s v="8_S235_SL41061411_p1_GS_316st_1761_"/>
        <s v="5_S235_SL41061412_p1_GS_316st_1761_"/>
        <s v="5_S235_SL40061400_p1_GS_1st_1761_"/>
        <s v="10_S235_SL10523531_p1_2s_S_42025"/>
        <s v="10_S235_SL10523531_p2_4s_SO_42025"/>
        <s v="3_S235_SL40091010_p1_2st_G_3902_3"/>
        <s v="4_S235_SL41082134_p4_4st_S_1295_"/>
        <s v="2_OC_SL41085200_p1_4st_GO_6412G_Z_"/>
        <s v="2_VER_SL41085202_p1_6st_G_2158_"/>
        <s v="1_OC_SL41085203_p1_1s_GS_42025"/>
        <s v="4_S235_SL41085912_p1_1s_G_42025"/>
        <s v="4_S235_SL41085912_p4_6s_S_4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</r>
  <r>
    <x v="1"/>
  </r>
  <r>
    <x v="2"/>
  </r>
  <r>
    <x v="2"/>
  </r>
  <r>
    <x v="3"/>
  </r>
  <r>
    <x v="4"/>
  </r>
  <r>
    <x v="3"/>
  </r>
  <r>
    <x v="4"/>
  </r>
  <r>
    <x v="5"/>
  </r>
  <r>
    <x v="6"/>
  </r>
  <r>
    <x v="7"/>
  </r>
  <r>
    <x v="8"/>
  </r>
  <r>
    <x v="6"/>
  </r>
  <r>
    <x v="7"/>
  </r>
  <r>
    <x v="8"/>
  </r>
  <r>
    <x v="9"/>
  </r>
  <r>
    <x v="10"/>
  </r>
  <r>
    <x v="11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1EDF0-A1E5-49CC-B2E6-11DE4081F132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2:F34" firstHeaderRow="1" firstDataRow="1" firstDataCol="1"/>
  <pivotFields count="1">
    <pivotField axis="axisRow" showAll="0">
      <items count="32">
        <item x="27"/>
        <item x="21"/>
        <item x="22"/>
        <item x="5"/>
        <item x="0"/>
        <item x="7"/>
        <item x="6"/>
        <item x="11"/>
        <item x="16"/>
        <item x="14"/>
        <item x="25"/>
        <item x="26"/>
        <item x="8"/>
        <item x="9"/>
        <item x="2"/>
        <item x="13"/>
        <item x="23"/>
        <item x="12"/>
        <item x="24"/>
        <item x="28"/>
        <item x="29"/>
        <item x="10"/>
        <item x="20"/>
        <item x="19"/>
        <item x="17"/>
        <item x="3"/>
        <item x="4"/>
        <item x="1"/>
        <item x="15"/>
        <item x="18"/>
        <item x="30"/>
        <item t="default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A683"/>
  <sheetViews>
    <sheetView tabSelected="1" zoomScale="70" zoomScaleNormal="70" workbookViewId="0">
      <pane ySplit="1" topLeftCell="A59" activePane="bottomLeft" state="frozen"/>
      <selection pane="bottomLeft" activeCell="AM1" sqref="AM1"/>
    </sheetView>
  </sheetViews>
  <sheetFormatPr defaultRowHeight="14.4"/>
  <cols>
    <col min="1" max="3" width="10" customWidth="1"/>
    <col min="4" max="4" width="16" customWidth="1"/>
    <col min="5" max="5" width="10" customWidth="1"/>
    <col min="6" max="6" width="17" customWidth="1"/>
    <col min="7" max="7" width="10" customWidth="1"/>
    <col min="8" max="8" width="18" customWidth="1"/>
    <col min="9" max="9" width="10" customWidth="1"/>
    <col min="10" max="10" width="21" customWidth="1"/>
    <col min="11" max="11" width="42.44140625" customWidth="1"/>
    <col min="12" max="12" width="13" customWidth="1"/>
    <col min="13" max="14" width="10" hidden="1" customWidth="1"/>
    <col min="15" max="15" width="42" hidden="1" customWidth="1"/>
    <col min="16" max="22" width="10" hidden="1" customWidth="1"/>
    <col min="23" max="23" width="18" hidden="1" customWidth="1"/>
    <col min="24" max="24" width="26" hidden="1" customWidth="1"/>
    <col min="25" max="25" width="13" customWidth="1"/>
    <col min="26" max="26" width="28" customWidth="1"/>
    <col min="27" max="27" width="11" customWidth="1"/>
    <col min="28" max="28" width="23" customWidth="1"/>
    <col min="29" max="29" width="28" customWidth="1"/>
    <col min="30" max="30" width="10" hidden="1" customWidth="1"/>
    <col min="31" max="31" width="13" hidden="1" customWidth="1"/>
    <col min="32" max="32" width="35.88671875" hidden="1" customWidth="1"/>
    <col min="33" max="34" width="10" hidden="1" customWidth="1"/>
    <col min="35" max="35" width="36.109375" bestFit="1" customWidth="1"/>
    <col min="36" max="36" width="14.5546875" customWidth="1"/>
    <col min="37" max="37" width="10" customWidth="1"/>
    <col min="38" max="38" width="19" customWidth="1"/>
    <col min="39" max="39" width="13" customWidth="1"/>
    <col min="40" max="41" width="10" hidden="1" customWidth="1"/>
    <col min="42" max="42" width="18" hidden="1" customWidth="1"/>
    <col min="43" max="43" width="10" hidden="1" customWidth="1"/>
    <col min="44" max="44" width="21" hidden="1" customWidth="1"/>
    <col min="45" max="45" width="11" hidden="1" customWidth="1"/>
    <col min="46" max="46" width="10" hidden="1" customWidth="1"/>
    <col min="47" max="47" width="21" hidden="1" customWidth="1"/>
    <col min="48" max="48" width="10" hidden="1" customWidth="1"/>
    <col min="49" max="49" width="13" hidden="1" customWidth="1"/>
    <col min="50" max="50" width="15" hidden="1" customWidth="1"/>
    <col min="51" max="51" width="14" hidden="1" customWidth="1"/>
    <col min="52" max="52" width="20.109375" style="64" hidden="1" customWidth="1"/>
    <col min="53" max="53" width="38.88671875" style="64" hidden="1" customWidth="1"/>
    <col min="54" max="75" width="8.88671875" hidden="1" customWidth="1"/>
    <col min="76" max="80" width="8.88671875" customWidth="1"/>
    <col min="81" max="95" width="8.88671875" hidden="1" customWidth="1"/>
    <col min="96" max="96" width="36" hidden="1" customWidth="1"/>
    <col min="97" max="100" width="0" hidden="1" customWidth="1"/>
    <col min="101" max="101" width="9.6640625" hidden="1" customWidth="1"/>
    <col min="102" max="102" width="14" hidden="1" customWidth="1"/>
    <col min="103" max="103" width="8.5546875" hidden="1" customWidth="1"/>
    <col min="104" max="104" width="24.109375" hidden="1" customWidth="1"/>
    <col min="105" max="106" width="0" hidden="1" customWidth="1"/>
  </cols>
  <sheetData>
    <row r="1" spans="1:10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6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/>
      <c r="W1" s="4" t="s">
        <v>20</v>
      </c>
      <c r="X1" s="5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79" t="s">
        <v>1942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s="64" t="s">
        <v>1676</v>
      </c>
      <c r="BA1" s="64" t="s">
        <v>1444</v>
      </c>
      <c r="BX1" t="s">
        <v>9</v>
      </c>
      <c r="CG1" t="s">
        <v>1444</v>
      </c>
      <c r="CR1" t="s">
        <v>2076</v>
      </c>
      <c r="CS1" t="s">
        <v>2077</v>
      </c>
      <c r="CT1" t="s">
        <v>2078</v>
      </c>
      <c r="CU1" t="s">
        <v>2079</v>
      </c>
      <c r="CW1" t="s">
        <v>2076</v>
      </c>
      <c r="CX1" t="s">
        <v>2077</v>
      </c>
      <c r="CY1" t="s">
        <v>2078</v>
      </c>
      <c r="CZ1" t="s">
        <v>2079</v>
      </c>
    </row>
    <row r="2" spans="1:104" hidden="1">
      <c r="A2" s="6" t="s">
        <v>49</v>
      </c>
      <c r="B2" s="6" t="s">
        <v>50</v>
      </c>
      <c r="C2" s="7">
        <v>10</v>
      </c>
      <c r="D2" s="7" t="s">
        <v>51</v>
      </c>
      <c r="E2" s="7">
        <v>1</v>
      </c>
      <c r="F2" s="7"/>
      <c r="G2" s="7" t="s">
        <v>52</v>
      </c>
      <c r="H2" s="7"/>
      <c r="I2" s="7"/>
      <c r="J2" s="7"/>
      <c r="K2" s="7" t="s">
        <v>53</v>
      </c>
      <c r="L2" s="7" t="s">
        <v>51</v>
      </c>
      <c r="M2" s="7">
        <v>0</v>
      </c>
      <c r="N2" s="7"/>
      <c r="O2" s="8"/>
      <c r="P2" s="8"/>
      <c r="Q2" s="8"/>
      <c r="R2" s="8"/>
      <c r="S2" s="8"/>
      <c r="T2" s="8"/>
      <c r="U2" s="8" t="s">
        <v>54</v>
      </c>
      <c r="V2" s="8"/>
      <c r="W2" s="9" t="s">
        <v>55</v>
      </c>
      <c r="X2" s="10" t="s">
        <v>56</v>
      </c>
      <c r="Y2" t="s">
        <v>57</v>
      </c>
      <c r="Z2" t="s">
        <v>53</v>
      </c>
      <c r="AA2" t="s">
        <v>51</v>
      </c>
      <c r="AF2" t="s">
        <v>1437</v>
      </c>
      <c r="AG2" t="s">
        <v>58</v>
      </c>
      <c r="BX2" t="s">
        <v>53</v>
      </c>
    </row>
    <row r="3" spans="1:104" ht="30" hidden="1" customHeight="1">
      <c r="A3" s="11" t="s">
        <v>59</v>
      </c>
      <c r="B3" s="11"/>
      <c r="C3" s="12"/>
      <c r="D3" s="12"/>
      <c r="E3" s="12"/>
      <c r="F3" s="12"/>
      <c r="G3" s="12"/>
      <c r="H3" s="12"/>
      <c r="I3" s="12"/>
      <c r="J3" s="12"/>
      <c r="K3" s="13" t="s">
        <v>60</v>
      </c>
      <c r="L3" s="12" t="s">
        <v>51</v>
      </c>
      <c r="M3" s="12"/>
      <c r="N3" s="12"/>
      <c r="O3" s="14"/>
      <c r="P3" s="14"/>
      <c r="Q3" s="14"/>
      <c r="R3" s="14"/>
      <c r="S3" s="14"/>
      <c r="T3" s="14"/>
      <c r="U3" s="14"/>
      <c r="V3" s="14"/>
      <c r="W3" s="15"/>
      <c r="Y3" t="s">
        <v>40</v>
      </c>
      <c r="Z3" t="s">
        <v>53</v>
      </c>
      <c r="AA3" t="s">
        <v>51</v>
      </c>
      <c r="AF3" t="s">
        <v>1437</v>
      </c>
      <c r="AG3" t="s">
        <v>58</v>
      </c>
      <c r="BX3" t="s">
        <v>1677</v>
      </c>
    </row>
    <row r="4" spans="1:104" hidden="1">
      <c r="A4" s="16" t="s">
        <v>61</v>
      </c>
      <c r="B4" s="16" t="s">
        <v>62</v>
      </c>
      <c r="C4" s="17">
        <v>1</v>
      </c>
      <c r="D4" s="17">
        <v>8030200</v>
      </c>
      <c r="E4" s="17">
        <v>1</v>
      </c>
      <c r="F4" s="17"/>
      <c r="G4" s="17" t="s">
        <v>52</v>
      </c>
      <c r="H4" s="17"/>
      <c r="I4" s="17"/>
      <c r="J4" s="17"/>
      <c r="K4" s="17" t="s">
        <v>63</v>
      </c>
      <c r="L4" s="17" t="s">
        <v>51</v>
      </c>
      <c r="M4" s="17"/>
      <c r="N4" s="17"/>
      <c r="O4" s="17"/>
      <c r="P4" s="17"/>
      <c r="Q4" s="17"/>
      <c r="R4" s="17"/>
      <c r="S4" s="17" t="s">
        <v>64</v>
      </c>
      <c r="T4" s="17"/>
      <c r="U4" s="17" t="s">
        <v>17</v>
      </c>
      <c r="V4" s="17"/>
      <c r="W4" s="18">
        <v>223</v>
      </c>
      <c r="X4" s="19" t="s">
        <v>65</v>
      </c>
      <c r="Y4" t="s">
        <v>57</v>
      </c>
      <c r="Z4" t="s">
        <v>53</v>
      </c>
      <c r="AA4" t="s">
        <v>51</v>
      </c>
      <c r="AF4" t="s">
        <v>1437</v>
      </c>
      <c r="AG4" t="s">
        <v>58</v>
      </c>
      <c r="BX4" t="s">
        <v>1678</v>
      </c>
      <c r="BY4" t="s">
        <v>1679</v>
      </c>
      <c r="BZ4" t="s">
        <v>1680</v>
      </c>
      <c r="CA4" t="s">
        <v>1681</v>
      </c>
    </row>
    <row r="5" spans="1:104" ht="105" hidden="1" customHeight="1">
      <c r="A5" s="20" t="s">
        <v>66</v>
      </c>
      <c r="B5" s="20" t="s">
        <v>62</v>
      </c>
      <c r="C5" s="21">
        <v>2</v>
      </c>
      <c r="D5" s="21">
        <v>8032400</v>
      </c>
      <c r="E5" s="21">
        <v>1</v>
      </c>
      <c r="F5" s="21"/>
      <c r="G5" s="21" t="s">
        <v>52</v>
      </c>
      <c r="H5" s="21"/>
      <c r="I5" s="21"/>
      <c r="J5" s="21"/>
      <c r="K5" s="22" t="s">
        <v>67</v>
      </c>
      <c r="L5" s="21" t="s">
        <v>51</v>
      </c>
      <c r="M5" s="21"/>
      <c r="N5" s="21"/>
      <c r="O5" s="23"/>
      <c r="P5" s="23"/>
      <c r="Q5" s="23"/>
      <c r="R5" s="23"/>
      <c r="S5" s="23" t="s">
        <v>64</v>
      </c>
      <c r="T5" s="23"/>
      <c r="U5" s="23" t="s">
        <v>17</v>
      </c>
      <c r="V5" s="23"/>
      <c r="W5" s="24">
        <v>576</v>
      </c>
      <c r="X5" s="25"/>
      <c r="Y5" s="59" t="s">
        <v>68</v>
      </c>
      <c r="Z5" t="s">
        <v>53</v>
      </c>
      <c r="AA5" t="s">
        <v>51</v>
      </c>
      <c r="AF5" t="s">
        <v>1437</v>
      </c>
      <c r="AG5" t="s">
        <v>58</v>
      </c>
      <c r="BX5" t="s">
        <v>1682</v>
      </c>
      <c r="BY5" t="s">
        <v>1683</v>
      </c>
      <c r="BZ5" t="s">
        <v>1684</v>
      </c>
      <c r="CA5" t="s">
        <v>1685</v>
      </c>
      <c r="CB5" t="s">
        <v>1686</v>
      </c>
    </row>
    <row r="6" spans="1:104" hidden="1">
      <c r="A6" s="26" t="s">
        <v>69</v>
      </c>
      <c r="B6" s="26" t="s">
        <v>62</v>
      </c>
      <c r="C6" s="27">
        <v>3</v>
      </c>
      <c r="D6" s="27" t="s">
        <v>70</v>
      </c>
      <c r="E6" s="27">
        <v>1</v>
      </c>
      <c r="F6" s="27"/>
      <c r="G6" s="27" t="s">
        <v>52</v>
      </c>
      <c r="H6" s="27"/>
      <c r="I6" s="27"/>
      <c r="J6" s="27"/>
      <c r="K6" s="27" t="s">
        <v>71</v>
      </c>
      <c r="L6" s="27" t="s">
        <v>70</v>
      </c>
      <c r="M6" s="27">
        <v>2</v>
      </c>
      <c r="N6" s="27"/>
      <c r="O6" s="23"/>
      <c r="P6" s="23"/>
      <c r="Q6" s="23"/>
      <c r="R6" s="23"/>
      <c r="S6" s="23"/>
      <c r="T6" s="23"/>
      <c r="U6" s="23" t="s">
        <v>54</v>
      </c>
      <c r="V6" s="23"/>
      <c r="W6" s="28">
        <v>541.07000000000005</v>
      </c>
      <c r="Y6" t="s">
        <v>40</v>
      </c>
      <c r="Z6" t="s">
        <v>53</v>
      </c>
      <c r="AA6" t="s">
        <v>51</v>
      </c>
      <c r="AB6" t="s">
        <v>72</v>
      </c>
      <c r="AF6" t="s">
        <v>1437</v>
      </c>
      <c r="AG6" t="s">
        <v>58</v>
      </c>
      <c r="BX6" t="s">
        <v>71</v>
      </c>
    </row>
    <row r="7" spans="1:104" hidden="1">
      <c r="A7" s="29" t="s">
        <v>73</v>
      </c>
      <c r="B7" s="29" t="s">
        <v>74</v>
      </c>
      <c r="C7" s="30">
        <v>1</v>
      </c>
      <c r="D7" s="30" t="s">
        <v>75</v>
      </c>
      <c r="E7" s="30">
        <v>1</v>
      </c>
      <c r="F7" s="30"/>
      <c r="G7" s="30" t="s">
        <v>52</v>
      </c>
      <c r="H7" s="30"/>
      <c r="I7" s="30"/>
      <c r="J7" s="30"/>
      <c r="K7" s="30" t="s">
        <v>76</v>
      </c>
      <c r="L7" s="30" t="s">
        <v>75</v>
      </c>
      <c r="M7" s="30">
        <v>2</v>
      </c>
      <c r="N7" s="30">
        <v>0</v>
      </c>
      <c r="O7" s="23"/>
      <c r="P7" s="23"/>
      <c r="Q7" s="23"/>
      <c r="R7" s="23"/>
      <c r="S7" s="23" t="s">
        <v>64</v>
      </c>
      <c r="T7" s="23"/>
      <c r="U7" s="23" t="s">
        <v>54</v>
      </c>
      <c r="V7" s="23"/>
      <c r="W7" s="31">
        <v>215.50299999999999</v>
      </c>
      <c r="Y7" t="s">
        <v>77</v>
      </c>
      <c r="Z7" t="s">
        <v>53</v>
      </c>
      <c r="AA7" t="s">
        <v>51</v>
      </c>
      <c r="AB7" t="s">
        <v>72</v>
      </c>
      <c r="AC7" t="s">
        <v>1435</v>
      </c>
      <c r="AD7" t="s">
        <v>1436</v>
      </c>
      <c r="AF7" t="s">
        <v>1437</v>
      </c>
      <c r="AG7" t="s">
        <v>58</v>
      </c>
      <c r="BX7" t="s">
        <v>76</v>
      </c>
    </row>
    <row r="8" spans="1:104" hidden="1">
      <c r="A8" s="29" t="s">
        <v>78</v>
      </c>
      <c r="B8" s="29" t="s">
        <v>79</v>
      </c>
      <c r="C8" s="30">
        <v>1</v>
      </c>
      <c r="D8" s="30" t="s">
        <v>80</v>
      </c>
      <c r="E8" s="30">
        <v>1</v>
      </c>
      <c r="F8" s="30"/>
      <c r="G8" s="30" t="s">
        <v>52</v>
      </c>
      <c r="H8" s="30"/>
      <c r="I8" s="30"/>
      <c r="J8" s="30"/>
      <c r="K8" s="30" t="s">
        <v>81</v>
      </c>
      <c r="L8" s="30" t="s">
        <v>80</v>
      </c>
      <c r="M8" s="30">
        <v>1</v>
      </c>
      <c r="N8" s="30"/>
      <c r="O8" s="23"/>
      <c r="P8" s="23"/>
      <c r="Q8" s="23"/>
      <c r="R8" s="23"/>
      <c r="S8" s="23" t="s">
        <v>64</v>
      </c>
      <c r="T8" s="23"/>
      <c r="U8" s="23" t="s">
        <v>54</v>
      </c>
      <c r="V8" s="23"/>
      <c r="W8" s="31">
        <v>140</v>
      </c>
      <c r="Y8" t="s">
        <v>77</v>
      </c>
      <c r="Z8" t="s">
        <v>53</v>
      </c>
      <c r="AA8" t="s">
        <v>51</v>
      </c>
      <c r="AB8" t="s">
        <v>72</v>
      </c>
      <c r="AC8" t="s">
        <v>1435</v>
      </c>
      <c r="AD8" t="s">
        <v>1436</v>
      </c>
      <c r="AF8" t="s">
        <v>1437</v>
      </c>
      <c r="AG8" t="s">
        <v>58</v>
      </c>
      <c r="BX8" t="s">
        <v>81</v>
      </c>
    </row>
    <row r="9" spans="1:104" hidden="1">
      <c r="A9" s="32" t="s">
        <v>82</v>
      </c>
      <c r="B9" s="32" t="s">
        <v>83</v>
      </c>
      <c r="C9" s="23">
        <v>1</v>
      </c>
      <c r="D9" s="23">
        <v>25632300</v>
      </c>
      <c r="E9" s="23">
        <v>1</v>
      </c>
      <c r="F9" s="23" t="s">
        <v>84</v>
      </c>
      <c r="G9" s="23" t="s">
        <v>85</v>
      </c>
      <c r="H9" s="23" t="s">
        <v>84</v>
      </c>
      <c r="I9" s="23" t="s">
        <v>85</v>
      </c>
      <c r="J9" s="23">
        <v>0</v>
      </c>
      <c r="K9" s="23" t="s">
        <v>86</v>
      </c>
      <c r="L9" s="23" t="s">
        <v>80</v>
      </c>
      <c r="M9" s="23"/>
      <c r="N9" s="23"/>
      <c r="O9" s="23"/>
      <c r="P9" s="23"/>
      <c r="Q9" s="23"/>
      <c r="R9" s="23"/>
      <c r="S9" s="23" t="s">
        <v>64</v>
      </c>
      <c r="T9" s="23"/>
      <c r="U9" s="23" t="s">
        <v>87</v>
      </c>
      <c r="V9" s="23"/>
      <c r="W9" s="33">
        <v>0</v>
      </c>
      <c r="Y9" t="s">
        <v>77</v>
      </c>
      <c r="Z9" t="s">
        <v>53</v>
      </c>
      <c r="AA9" t="s">
        <v>51</v>
      </c>
      <c r="AB9" t="s">
        <v>72</v>
      </c>
      <c r="AC9" t="s">
        <v>1435</v>
      </c>
      <c r="AD9" t="s">
        <v>1436</v>
      </c>
      <c r="AF9" t="s">
        <v>1437</v>
      </c>
      <c r="AG9" t="s">
        <v>58</v>
      </c>
      <c r="BX9" t="s">
        <v>1687</v>
      </c>
      <c r="BY9" t="s">
        <v>1688</v>
      </c>
      <c r="BZ9" t="s">
        <v>1689</v>
      </c>
      <c r="CB9" t="s">
        <v>1690</v>
      </c>
    </row>
    <row r="10" spans="1:104" hidden="1">
      <c r="A10" s="32" t="s">
        <v>88</v>
      </c>
      <c r="B10" s="32" t="s">
        <v>83</v>
      </c>
      <c r="C10" s="23">
        <v>2</v>
      </c>
      <c r="D10" s="23">
        <v>3741900</v>
      </c>
      <c r="E10" s="23">
        <v>2</v>
      </c>
      <c r="F10" s="23">
        <v>0.30399999999999999</v>
      </c>
      <c r="G10" s="23" t="s">
        <v>89</v>
      </c>
      <c r="H10" s="23">
        <v>390</v>
      </c>
      <c r="I10" s="23" t="s">
        <v>85</v>
      </c>
      <c r="J10" s="23">
        <v>390</v>
      </c>
      <c r="K10" s="23" t="s">
        <v>90</v>
      </c>
      <c r="L10" s="23" t="s">
        <v>80</v>
      </c>
      <c r="M10" s="23"/>
      <c r="N10" s="23"/>
      <c r="O10" s="23"/>
      <c r="P10" s="23"/>
      <c r="Q10" s="23"/>
      <c r="R10" s="23"/>
      <c r="S10" s="23" t="s">
        <v>64</v>
      </c>
      <c r="T10" s="23"/>
      <c r="U10" s="23" t="s">
        <v>87</v>
      </c>
      <c r="V10" s="23"/>
      <c r="W10" s="33">
        <v>0</v>
      </c>
      <c r="X10" s="25"/>
      <c r="Y10" t="s">
        <v>77</v>
      </c>
      <c r="Z10" t="s">
        <v>53</v>
      </c>
      <c r="AA10" t="s">
        <v>51</v>
      </c>
      <c r="AB10" t="s">
        <v>72</v>
      </c>
      <c r="AC10" t="s">
        <v>1435</v>
      </c>
      <c r="AD10" t="s">
        <v>1436</v>
      </c>
      <c r="AF10" t="s">
        <v>1437</v>
      </c>
      <c r="AG10" t="s">
        <v>58</v>
      </c>
      <c r="BX10" t="s">
        <v>1691</v>
      </c>
      <c r="BY10">
        <v>30</v>
      </c>
      <c r="BZ10" t="s">
        <v>1692</v>
      </c>
      <c r="CA10" t="s">
        <v>1693</v>
      </c>
      <c r="CB10" t="s">
        <v>1694</v>
      </c>
    </row>
    <row r="11" spans="1:104" hidden="1">
      <c r="A11" s="32" t="s">
        <v>91</v>
      </c>
      <c r="B11" s="32" t="s">
        <v>83</v>
      </c>
      <c r="C11" s="23">
        <v>3</v>
      </c>
      <c r="D11" s="23">
        <v>3740200</v>
      </c>
      <c r="E11" s="23">
        <v>2</v>
      </c>
      <c r="F11" s="23">
        <v>2E-3</v>
      </c>
      <c r="G11" s="23" t="s">
        <v>89</v>
      </c>
      <c r="H11" s="23">
        <v>52</v>
      </c>
      <c r="I11" s="23" t="s">
        <v>85</v>
      </c>
      <c r="J11" s="23">
        <v>21</v>
      </c>
      <c r="K11" s="23" t="s">
        <v>92</v>
      </c>
      <c r="L11" s="23" t="s">
        <v>80</v>
      </c>
      <c r="M11" s="23"/>
      <c r="N11" s="23"/>
      <c r="O11" s="23"/>
      <c r="P11" s="23"/>
      <c r="Q11" s="23"/>
      <c r="R11" s="23"/>
      <c r="S11" s="23" t="s">
        <v>64</v>
      </c>
      <c r="T11" s="23"/>
      <c r="U11" s="23" t="s">
        <v>87</v>
      </c>
      <c r="V11" s="23"/>
      <c r="W11" s="33">
        <v>0</v>
      </c>
      <c r="Y11" t="s">
        <v>77</v>
      </c>
      <c r="Z11" t="s">
        <v>53</v>
      </c>
      <c r="AA11" t="s">
        <v>51</v>
      </c>
      <c r="AB11" t="s">
        <v>72</v>
      </c>
      <c r="AC11" t="s">
        <v>1435</v>
      </c>
      <c r="AD11" t="s">
        <v>1436</v>
      </c>
      <c r="AF11" t="s">
        <v>1437</v>
      </c>
      <c r="AG11" t="s">
        <v>58</v>
      </c>
      <c r="BX11" t="s">
        <v>1691</v>
      </c>
      <c r="BY11">
        <v>4</v>
      </c>
      <c r="BZ11" t="s">
        <v>1692</v>
      </c>
      <c r="CA11" t="s">
        <v>1693</v>
      </c>
      <c r="CB11" t="s">
        <v>1694</v>
      </c>
    </row>
    <row r="12" spans="1:104" hidden="1">
      <c r="A12" s="29" t="s">
        <v>93</v>
      </c>
      <c r="B12" s="29" t="s">
        <v>79</v>
      </c>
      <c r="C12" s="30">
        <v>2</v>
      </c>
      <c r="D12" s="30" t="s">
        <v>94</v>
      </c>
      <c r="E12" s="30">
        <v>1</v>
      </c>
      <c r="F12" s="30"/>
      <c r="G12" s="30" t="s">
        <v>52</v>
      </c>
      <c r="H12" s="30"/>
      <c r="I12" s="30"/>
      <c r="J12" s="30"/>
      <c r="K12" s="30" t="s">
        <v>95</v>
      </c>
      <c r="L12" s="30" t="s">
        <v>94</v>
      </c>
      <c r="M12" s="30">
        <v>3</v>
      </c>
      <c r="N12" s="30">
        <v>0</v>
      </c>
      <c r="O12" s="23"/>
      <c r="P12" s="23"/>
      <c r="Q12" s="23"/>
      <c r="R12" s="23"/>
      <c r="S12" s="23" t="s">
        <v>64</v>
      </c>
      <c r="T12" s="23"/>
      <c r="U12" s="23" t="s">
        <v>54</v>
      </c>
      <c r="V12" s="23"/>
      <c r="W12" s="31">
        <v>56.753</v>
      </c>
      <c r="Y12" t="s">
        <v>77</v>
      </c>
      <c r="Z12" t="s">
        <v>53</v>
      </c>
      <c r="AA12" t="s">
        <v>51</v>
      </c>
      <c r="AB12" t="s">
        <v>72</v>
      </c>
      <c r="AC12" t="s">
        <v>1435</v>
      </c>
      <c r="AD12" t="s">
        <v>1436</v>
      </c>
      <c r="AF12" t="s">
        <v>1437</v>
      </c>
      <c r="AG12" t="s">
        <v>58</v>
      </c>
      <c r="BX12" t="s">
        <v>95</v>
      </c>
    </row>
    <row r="13" spans="1:104" hidden="1">
      <c r="A13" s="32" t="s">
        <v>96</v>
      </c>
      <c r="B13" s="32" t="s">
        <v>83</v>
      </c>
      <c r="C13" s="23">
        <v>1</v>
      </c>
      <c r="D13" s="23">
        <v>3779500</v>
      </c>
      <c r="E13" s="23">
        <v>1</v>
      </c>
      <c r="F13" s="23" t="s">
        <v>97</v>
      </c>
      <c r="G13" s="23" t="s">
        <v>85</v>
      </c>
      <c r="H13" s="23" t="s">
        <v>97</v>
      </c>
      <c r="I13" s="23" t="s">
        <v>85</v>
      </c>
      <c r="J13" s="23">
        <v>0</v>
      </c>
      <c r="K13" s="23" t="s">
        <v>98</v>
      </c>
      <c r="L13" s="23" t="s">
        <v>94</v>
      </c>
      <c r="M13" s="23"/>
      <c r="N13" s="23"/>
      <c r="O13" s="23"/>
      <c r="P13" s="23"/>
      <c r="Q13" s="23"/>
      <c r="R13" s="23"/>
      <c r="S13" s="23" t="s">
        <v>64</v>
      </c>
      <c r="T13" s="23"/>
      <c r="U13" s="23" t="s">
        <v>87</v>
      </c>
      <c r="V13" s="23"/>
      <c r="W13" s="33">
        <v>0</v>
      </c>
      <c r="X13" s="25"/>
      <c r="Y13" t="s">
        <v>77</v>
      </c>
      <c r="Z13" t="s">
        <v>53</v>
      </c>
      <c r="AA13" t="s">
        <v>51</v>
      </c>
      <c r="AB13" t="s">
        <v>72</v>
      </c>
      <c r="AC13" t="s">
        <v>1435</v>
      </c>
      <c r="AD13" t="s">
        <v>1436</v>
      </c>
      <c r="AF13" t="s">
        <v>1437</v>
      </c>
      <c r="AG13" t="s">
        <v>58</v>
      </c>
      <c r="BX13" t="s">
        <v>1695</v>
      </c>
      <c r="BY13">
        <v>75</v>
      </c>
      <c r="BZ13" t="s">
        <v>1696</v>
      </c>
      <c r="CA13" t="s">
        <v>1697</v>
      </c>
      <c r="CB13" t="s">
        <v>1698</v>
      </c>
      <c r="CC13" t="s">
        <v>1699</v>
      </c>
    </row>
    <row r="14" spans="1:104" hidden="1">
      <c r="A14" s="32" t="s">
        <v>99</v>
      </c>
      <c r="B14" s="32" t="s">
        <v>79</v>
      </c>
      <c r="C14" s="23">
        <v>3</v>
      </c>
      <c r="D14" s="23" t="s">
        <v>100</v>
      </c>
      <c r="E14" s="23">
        <v>2</v>
      </c>
      <c r="F14" s="23"/>
      <c r="G14" s="23" t="s">
        <v>52</v>
      </c>
      <c r="H14" s="23"/>
      <c r="I14" s="23"/>
      <c r="J14" s="23"/>
      <c r="K14" s="23" t="s">
        <v>101</v>
      </c>
      <c r="L14" s="23" t="s">
        <v>94</v>
      </c>
      <c r="M14" s="23"/>
      <c r="N14" s="23"/>
      <c r="O14" s="23"/>
      <c r="P14" s="23"/>
      <c r="Q14" s="23"/>
      <c r="R14" s="23"/>
      <c r="S14" s="23" t="s">
        <v>64</v>
      </c>
      <c r="T14" s="23"/>
      <c r="U14" s="23" t="s">
        <v>17</v>
      </c>
      <c r="V14" s="23"/>
      <c r="W14" s="33">
        <v>2</v>
      </c>
      <c r="Y14" t="s">
        <v>102</v>
      </c>
      <c r="Z14" t="s">
        <v>53</v>
      </c>
      <c r="AA14" t="s">
        <v>51</v>
      </c>
      <c r="AB14" t="s">
        <v>72</v>
      </c>
      <c r="AF14" t="s">
        <v>1437</v>
      </c>
      <c r="AG14" t="s">
        <v>58</v>
      </c>
      <c r="BX14" t="s">
        <v>1700</v>
      </c>
      <c r="BY14" t="s">
        <v>1701</v>
      </c>
    </row>
    <row r="15" spans="1:104" ht="30" hidden="1" customHeight="1">
      <c r="A15" s="32" t="s">
        <v>103</v>
      </c>
      <c r="B15" s="32" t="s">
        <v>79</v>
      </c>
      <c r="C15" s="23">
        <v>4</v>
      </c>
      <c r="D15" s="23" t="s">
        <v>104</v>
      </c>
      <c r="E15" s="23">
        <v>1</v>
      </c>
      <c r="F15" s="23"/>
      <c r="G15" s="23" t="s">
        <v>52</v>
      </c>
      <c r="H15" s="23"/>
      <c r="I15" s="23"/>
      <c r="J15" s="23"/>
      <c r="K15" s="34" t="s">
        <v>105</v>
      </c>
      <c r="L15" s="23" t="s">
        <v>94</v>
      </c>
      <c r="M15" s="23"/>
      <c r="N15" s="23"/>
      <c r="O15" s="23"/>
      <c r="P15" s="23"/>
      <c r="Q15" s="23"/>
      <c r="R15" s="23"/>
      <c r="S15" s="23" t="s">
        <v>64</v>
      </c>
      <c r="T15" s="23"/>
      <c r="U15" s="23" t="s">
        <v>54</v>
      </c>
      <c r="V15" s="23"/>
      <c r="W15" s="33">
        <v>14.2</v>
      </c>
      <c r="Y15" t="s">
        <v>106</v>
      </c>
      <c r="Z15" t="s">
        <v>53</v>
      </c>
      <c r="AA15" t="s">
        <v>51</v>
      </c>
      <c r="AB15" t="s">
        <v>72</v>
      </c>
      <c r="AF15" t="s">
        <v>1437</v>
      </c>
      <c r="AG15" t="s">
        <v>58</v>
      </c>
      <c r="BX15" t="s">
        <v>1702</v>
      </c>
      <c r="BY15" t="s">
        <v>1703</v>
      </c>
    </row>
    <row r="16" spans="1:104" hidden="1">
      <c r="A16" s="29" t="s">
        <v>107</v>
      </c>
      <c r="B16" s="29" t="s">
        <v>79</v>
      </c>
      <c r="C16" s="30">
        <v>5</v>
      </c>
      <c r="D16" s="30" t="s">
        <v>108</v>
      </c>
      <c r="E16" s="30">
        <v>1</v>
      </c>
      <c r="F16" s="30"/>
      <c r="G16" s="30" t="s">
        <v>52</v>
      </c>
      <c r="H16" s="30"/>
      <c r="I16" s="30"/>
      <c r="J16" s="30"/>
      <c r="K16" s="30" t="s">
        <v>109</v>
      </c>
      <c r="L16" s="30" t="s">
        <v>108</v>
      </c>
      <c r="M16" s="30">
        <v>4</v>
      </c>
      <c r="N16" s="30"/>
      <c r="O16" s="23"/>
      <c r="P16" s="23"/>
      <c r="Q16" s="23"/>
      <c r="R16" s="23"/>
      <c r="S16" s="23" t="s">
        <v>64</v>
      </c>
      <c r="T16" s="23"/>
      <c r="U16" s="23" t="s">
        <v>54</v>
      </c>
      <c r="V16" s="23"/>
      <c r="W16" s="31">
        <v>0.35</v>
      </c>
      <c r="X16" s="25"/>
      <c r="Y16" t="s">
        <v>77</v>
      </c>
      <c r="Z16" t="s">
        <v>53</v>
      </c>
      <c r="AA16" t="s">
        <v>51</v>
      </c>
      <c r="AB16" t="s">
        <v>72</v>
      </c>
      <c r="AC16" t="s">
        <v>1435</v>
      </c>
      <c r="AD16" t="s">
        <v>1436</v>
      </c>
      <c r="AF16" t="s">
        <v>1437</v>
      </c>
      <c r="AG16" t="s">
        <v>58</v>
      </c>
      <c r="BX16" t="s">
        <v>109</v>
      </c>
    </row>
    <row r="17" spans="1:81" hidden="1">
      <c r="A17" s="32" t="s">
        <v>110</v>
      </c>
      <c r="B17" s="32" t="s">
        <v>83</v>
      </c>
      <c r="C17" s="23">
        <v>1</v>
      </c>
      <c r="D17" s="23">
        <v>3369800</v>
      </c>
      <c r="E17" s="23">
        <v>1</v>
      </c>
      <c r="F17" s="23">
        <v>20</v>
      </c>
      <c r="G17" s="23" t="s">
        <v>85</v>
      </c>
      <c r="H17" s="23">
        <v>20</v>
      </c>
      <c r="I17" s="23" t="s">
        <v>85</v>
      </c>
      <c r="J17" s="23">
        <v>0</v>
      </c>
      <c r="K17" s="23" t="s">
        <v>111</v>
      </c>
      <c r="L17" s="23" t="s">
        <v>108</v>
      </c>
      <c r="M17" s="23"/>
      <c r="N17" s="23"/>
      <c r="O17" s="23"/>
      <c r="P17" s="23"/>
      <c r="Q17" s="23"/>
      <c r="R17" s="23"/>
      <c r="S17" s="23" t="s">
        <v>64</v>
      </c>
      <c r="T17" s="23"/>
      <c r="U17" s="23" t="s">
        <v>87</v>
      </c>
      <c r="V17" s="23"/>
      <c r="W17" s="33">
        <v>0</v>
      </c>
      <c r="X17" s="25"/>
      <c r="Y17" t="s">
        <v>77</v>
      </c>
      <c r="Z17" t="s">
        <v>53</v>
      </c>
      <c r="AA17" t="s">
        <v>51</v>
      </c>
      <c r="AB17" t="s">
        <v>72</v>
      </c>
      <c r="AC17" t="s">
        <v>1435</v>
      </c>
      <c r="AD17" t="s">
        <v>1436</v>
      </c>
      <c r="AF17" t="s">
        <v>1437</v>
      </c>
      <c r="AG17" t="s">
        <v>58</v>
      </c>
      <c r="BX17" t="s">
        <v>1695</v>
      </c>
      <c r="BY17">
        <v>60</v>
      </c>
      <c r="BZ17" t="s">
        <v>1696</v>
      </c>
      <c r="CA17" t="s">
        <v>1704</v>
      </c>
      <c r="CB17" t="s">
        <v>1705</v>
      </c>
    </row>
    <row r="18" spans="1:81" hidden="1">
      <c r="A18" s="32" t="s">
        <v>112</v>
      </c>
      <c r="B18" s="32" t="s">
        <v>79</v>
      </c>
      <c r="C18" s="23">
        <v>101</v>
      </c>
      <c r="D18" s="23">
        <v>2751000</v>
      </c>
      <c r="E18" s="23">
        <v>1</v>
      </c>
      <c r="F18" s="23"/>
      <c r="G18" s="23" t="s">
        <v>52</v>
      </c>
      <c r="H18" s="23" t="s">
        <v>113</v>
      </c>
      <c r="I18" s="23"/>
      <c r="J18" s="23"/>
      <c r="K18" s="23" t="s">
        <v>114</v>
      </c>
      <c r="L18" s="23" t="s">
        <v>108</v>
      </c>
      <c r="M18" s="23"/>
      <c r="N18" s="23"/>
      <c r="O18" s="23"/>
      <c r="P18" s="23"/>
      <c r="Q18" s="23"/>
      <c r="R18" s="23"/>
      <c r="S18" s="23" t="s">
        <v>64</v>
      </c>
      <c r="T18" s="23"/>
      <c r="U18" s="23" t="s">
        <v>17</v>
      </c>
      <c r="V18" s="23"/>
      <c r="W18" s="33">
        <v>0.2</v>
      </c>
      <c r="Y18" t="s">
        <v>77</v>
      </c>
      <c r="Z18" t="s">
        <v>53</v>
      </c>
      <c r="AA18" t="s">
        <v>51</v>
      </c>
      <c r="AB18" t="s">
        <v>72</v>
      </c>
      <c r="AC18" t="s">
        <v>1435</v>
      </c>
      <c r="AD18" t="s">
        <v>1436</v>
      </c>
      <c r="AF18" t="s">
        <v>1437</v>
      </c>
      <c r="AG18" t="s">
        <v>58</v>
      </c>
      <c r="BX18" t="s">
        <v>1706</v>
      </c>
      <c r="BY18" t="s">
        <v>113</v>
      </c>
      <c r="BZ18" t="s">
        <v>1707</v>
      </c>
      <c r="CA18" t="s">
        <v>1708</v>
      </c>
      <c r="CB18" t="s">
        <v>1709</v>
      </c>
    </row>
    <row r="19" spans="1:81" hidden="1">
      <c r="A19" s="32" t="s">
        <v>115</v>
      </c>
      <c r="B19" s="32" t="s">
        <v>79</v>
      </c>
      <c r="C19" s="23">
        <v>102</v>
      </c>
      <c r="D19" s="23">
        <v>2593100</v>
      </c>
      <c r="E19" s="23">
        <v>1</v>
      </c>
      <c r="F19" s="23"/>
      <c r="G19" s="23" t="s">
        <v>52</v>
      </c>
      <c r="H19" s="23" t="s">
        <v>116</v>
      </c>
      <c r="I19" s="23"/>
      <c r="J19" s="23"/>
      <c r="K19" s="23" t="s">
        <v>117</v>
      </c>
      <c r="L19" s="23" t="s">
        <v>108</v>
      </c>
      <c r="M19" s="23"/>
      <c r="N19" s="23"/>
      <c r="O19" s="23"/>
      <c r="P19" s="23"/>
      <c r="Q19" s="23"/>
      <c r="R19" s="23"/>
      <c r="S19" s="23" t="s">
        <v>64</v>
      </c>
      <c r="T19" s="23"/>
      <c r="U19" s="23" t="s">
        <v>17</v>
      </c>
      <c r="V19" s="23"/>
      <c r="W19" s="33">
        <v>0</v>
      </c>
      <c r="Y19" t="s">
        <v>77</v>
      </c>
      <c r="Z19" t="s">
        <v>53</v>
      </c>
      <c r="AA19" t="s">
        <v>51</v>
      </c>
      <c r="AB19" t="s">
        <v>72</v>
      </c>
      <c r="AC19" t="s">
        <v>1435</v>
      </c>
      <c r="AD19" t="s">
        <v>1436</v>
      </c>
      <c r="AF19" t="s">
        <v>1437</v>
      </c>
      <c r="AG19" t="s">
        <v>58</v>
      </c>
      <c r="BX19" t="s">
        <v>1710</v>
      </c>
      <c r="BY19" t="s">
        <v>116</v>
      </c>
      <c r="BZ19" t="s">
        <v>1711</v>
      </c>
      <c r="CA19" t="s">
        <v>1712</v>
      </c>
    </row>
    <row r="20" spans="1:81" hidden="1">
      <c r="A20" s="29" t="s">
        <v>118</v>
      </c>
      <c r="B20" s="29" t="s">
        <v>74</v>
      </c>
      <c r="C20" s="30">
        <v>2</v>
      </c>
      <c r="D20" s="30" t="s">
        <v>119</v>
      </c>
      <c r="E20" s="30">
        <v>1</v>
      </c>
      <c r="F20" s="30"/>
      <c r="G20" s="30" t="s">
        <v>52</v>
      </c>
      <c r="H20" s="30"/>
      <c r="I20" s="30"/>
      <c r="J20" s="30"/>
      <c r="K20" s="30" t="s">
        <v>120</v>
      </c>
      <c r="L20" s="30" t="s">
        <v>119</v>
      </c>
      <c r="M20" s="30">
        <v>2</v>
      </c>
      <c r="N20" s="30"/>
      <c r="O20" s="23"/>
      <c r="P20" s="23"/>
      <c r="Q20" s="23"/>
      <c r="R20" s="23"/>
      <c r="S20" s="23" t="s">
        <v>64</v>
      </c>
      <c r="T20" s="23"/>
      <c r="U20" s="23" t="s">
        <v>54</v>
      </c>
      <c r="V20" s="23"/>
      <c r="W20" s="31">
        <v>28.407</v>
      </c>
      <c r="Y20" t="s">
        <v>40</v>
      </c>
      <c r="Z20" t="s">
        <v>53</v>
      </c>
      <c r="AA20" t="s">
        <v>51</v>
      </c>
      <c r="AB20" t="s">
        <v>72</v>
      </c>
      <c r="AF20" t="s">
        <v>1437</v>
      </c>
      <c r="AG20" t="s">
        <v>58</v>
      </c>
      <c r="BX20" t="s">
        <v>120</v>
      </c>
    </row>
    <row r="21" spans="1:81" hidden="1">
      <c r="A21" s="32" t="s">
        <v>121</v>
      </c>
      <c r="B21" s="32" t="s">
        <v>79</v>
      </c>
      <c r="C21" s="23">
        <v>101</v>
      </c>
      <c r="D21" s="23">
        <v>813800</v>
      </c>
      <c r="E21" s="23">
        <v>4</v>
      </c>
      <c r="F21" s="23"/>
      <c r="G21" s="23" t="s">
        <v>52</v>
      </c>
      <c r="H21" s="23" t="s">
        <v>122</v>
      </c>
      <c r="I21" s="23"/>
      <c r="J21" s="23"/>
      <c r="K21" s="23" t="s">
        <v>123</v>
      </c>
      <c r="L21" s="23" t="s">
        <v>119</v>
      </c>
      <c r="M21" s="23"/>
      <c r="N21" s="23"/>
      <c r="O21" s="23"/>
      <c r="P21" s="23"/>
      <c r="Q21" s="23"/>
      <c r="R21" s="23"/>
      <c r="S21" s="23" t="s">
        <v>64</v>
      </c>
      <c r="T21" s="23"/>
      <c r="U21" s="23" t="s">
        <v>17</v>
      </c>
      <c r="V21" s="23"/>
      <c r="W21" s="33">
        <v>0.217</v>
      </c>
      <c r="X21" s="25"/>
      <c r="Y21" t="s">
        <v>124</v>
      </c>
      <c r="Z21" t="s">
        <v>53</v>
      </c>
      <c r="AA21" t="s">
        <v>51</v>
      </c>
      <c r="AB21" t="s">
        <v>72</v>
      </c>
      <c r="AF21" t="s">
        <v>1437</v>
      </c>
      <c r="AG21" t="s">
        <v>58</v>
      </c>
      <c r="BX21" t="s">
        <v>1713</v>
      </c>
      <c r="BY21" t="s">
        <v>122</v>
      </c>
      <c r="BZ21" t="s">
        <v>1714</v>
      </c>
      <c r="CA21" s="76">
        <v>46242</v>
      </c>
      <c r="CB21" t="s">
        <v>1715</v>
      </c>
      <c r="CC21" t="s">
        <v>1716</v>
      </c>
    </row>
    <row r="22" spans="1:81" hidden="1">
      <c r="A22" s="32" t="s">
        <v>125</v>
      </c>
      <c r="B22" s="32" t="s">
        <v>79</v>
      </c>
      <c r="C22" s="23">
        <v>102</v>
      </c>
      <c r="D22" s="23">
        <v>24723900</v>
      </c>
      <c r="E22" s="23">
        <v>4</v>
      </c>
      <c r="F22" s="23"/>
      <c r="G22" s="23" t="s">
        <v>52</v>
      </c>
      <c r="H22" s="23" t="s">
        <v>126</v>
      </c>
      <c r="I22" s="23"/>
      <c r="J22" s="23"/>
      <c r="K22" s="23" t="s">
        <v>127</v>
      </c>
      <c r="L22" s="23" t="s">
        <v>119</v>
      </c>
      <c r="M22" s="23"/>
      <c r="N22" s="23"/>
      <c r="O22" s="23"/>
      <c r="P22" s="23"/>
      <c r="Q22" s="23"/>
      <c r="R22" s="23"/>
      <c r="S22" s="23" t="s">
        <v>64</v>
      </c>
      <c r="T22" s="23"/>
      <c r="U22" s="23" t="s">
        <v>17</v>
      </c>
      <c r="V22" s="23"/>
      <c r="W22" s="33">
        <v>0.1</v>
      </c>
      <c r="Y22" t="s">
        <v>124</v>
      </c>
      <c r="Z22" t="s">
        <v>53</v>
      </c>
      <c r="AA22" t="s">
        <v>51</v>
      </c>
      <c r="AB22" t="s">
        <v>72</v>
      </c>
      <c r="AF22" t="s">
        <v>1437</v>
      </c>
      <c r="AG22" t="s">
        <v>58</v>
      </c>
      <c r="BX22" t="s">
        <v>1717</v>
      </c>
      <c r="BY22" t="s">
        <v>126</v>
      </c>
      <c r="BZ22" t="s">
        <v>1718</v>
      </c>
      <c r="CA22">
        <v>8</v>
      </c>
      <c r="CB22" t="s">
        <v>1715</v>
      </c>
      <c r="CC22" t="s">
        <v>1716</v>
      </c>
    </row>
    <row r="23" spans="1:81" hidden="1">
      <c r="A23" s="32" t="s">
        <v>128</v>
      </c>
      <c r="B23" s="32" t="s">
        <v>79</v>
      </c>
      <c r="C23" s="23">
        <v>103</v>
      </c>
      <c r="D23" s="23">
        <v>24712900</v>
      </c>
      <c r="E23" s="23">
        <v>8</v>
      </c>
      <c r="F23" s="23"/>
      <c r="G23" s="23" t="s">
        <v>52</v>
      </c>
      <c r="H23" s="23">
        <v>21</v>
      </c>
      <c r="I23" s="23"/>
      <c r="J23" s="23"/>
      <c r="K23" s="23" t="s">
        <v>129</v>
      </c>
      <c r="L23" s="23" t="s">
        <v>119</v>
      </c>
      <c r="M23" s="23"/>
      <c r="N23" s="23"/>
      <c r="O23" s="23"/>
      <c r="P23" s="23"/>
      <c r="Q23" s="23"/>
      <c r="R23" s="23"/>
      <c r="S23" s="23" t="s">
        <v>64</v>
      </c>
      <c r="T23" s="23"/>
      <c r="U23" s="23" t="s">
        <v>17</v>
      </c>
      <c r="V23" s="23"/>
      <c r="W23" s="33">
        <v>1.7000000000000001E-2</v>
      </c>
      <c r="Y23" t="s">
        <v>124</v>
      </c>
      <c r="Z23" t="s">
        <v>53</v>
      </c>
      <c r="AA23" t="s">
        <v>51</v>
      </c>
      <c r="AB23" t="s">
        <v>72</v>
      </c>
      <c r="AF23" t="s">
        <v>1437</v>
      </c>
      <c r="AG23" t="s">
        <v>58</v>
      </c>
      <c r="BX23" t="s">
        <v>1719</v>
      </c>
      <c r="BY23">
        <v>21</v>
      </c>
      <c r="BZ23" t="s">
        <v>763</v>
      </c>
      <c r="CA23" t="s">
        <v>1720</v>
      </c>
      <c r="CB23" t="s">
        <v>1721</v>
      </c>
    </row>
    <row r="24" spans="1:81" ht="45" hidden="1" customHeight="1">
      <c r="A24" s="32" t="s">
        <v>130</v>
      </c>
      <c r="B24" s="32" t="s">
        <v>79</v>
      </c>
      <c r="C24" s="23">
        <v>301</v>
      </c>
      <c r="D24" s="23" t="s">
        <v>131</v>
      </c>
      <c r="E24" s="23">
        <v>2</v>
      </c>
      <c r="F24" s="23"/>
      <c r="G24" s="23" t="s">
        <v>52</v>
      </c>
      <c r="H24" s="23"/>
      <c r="I24" s="23"/>
      <c r="J24" s="23"/>
      <c r="K24" s="34" t="s">
        <v>132</v>
      </c>
      <c r="L24" s="23" t="s">
        <v>119</v>
      </c>
      <c r="M24" s="23"/>
      <c r="N24" s="23"/>
      <c r="O24" s="23"/>
      <c r="P24" s="23"/>
      <c r="Q24" s="23"/>
      <c r="R24" s="23"/>
      <c r="S24" s="23" t="s">
        <v>64</v>
      </c>
      <c r="T24" s="23"/>
      <c r="U24" s="23" t="s">
        <v>17</v>
      </c>
      <c r="V24" s="23"/>
      <c r="W24" s="33">
        <v>9.6999999999999993</v>
      </c>
      <c r="Y24" t="s">
        <v>102</v>
      </c>
      <c r="Z24" t="s">
        <v>53</v>
      </c>
      <c r="AA24" t="s">
        <v>51</v>
      </c>
      <c r="AB24" t="s">
        <v>72</v>
      </c>
      <c r="AF24" t="s">
        <v>1437</v>
      </c>
      <c r="AG24" t="s">
        <v>58</v>
      </c>
      <c r="BX24" t="s">
        <v>1722</v>
      </c>
      <c r="BY24" t="s">
        <v>1723</v>
      </c>
    </row>
    <row r="25" spans="1:81" ht="30" hidden="1" customHeight="1">
      <c r="A25" s="32" t="s">
        <v>133</v>
      </c>
      <c r="B25" s="32" t="s">
        <v>79</v>
      </c>
      <c r="C25" s="23">
        <v>302</v>
      </c>
      <c r="D25" s="23" t="s">
        <v>134</v>
      </c>
      <c r="E25" s="23">
        <v>2</v>
      </c>
      <c r="F25" s="23"/>
      <c r="G25" s="23" t="s">
        <v>52</v>
      </c>
      <c r="H25" s="23"/>
      <c r="I25" s="23"/>
      <c r="J25" s="23"/>
      <c r="K25" s="34" t="s">
        <v>135</v>
      </c>
      <c r="L25" s="23" t="s">
        <v>119</v>
      </c>
      <c r="M25" s="23"/>
      <c r="N25" s="23"/>
      <c r="O25" s="23"/>
      <c r="P25" s="23"/>
      <c r="Q25" s="23"/>
      <c r="R25" s="23"/>
      <c r="S25" s="23" t="s">
        <v>64</v>
      </c>
      <c r="T25" s="23"/>
      <c r="U25" s="23" t="s">
        <v>17</v>
      </c>
      <c r="V25" s="23"/>
      <c r="W25" s="33">
        <v>2.4700000000000002</v>
      </c>
      <c r="X25" s="25"/>
      <c r="Y25" t="s">
        <v>102</v>
      </c>
      <c r="Z25" t="s">
        <v>53</v>
      </c>
      <c r="AA25" t="s">
        <v>51</v>
      </c>
      <c r="AB25" t="s">
        <v>72</v>
      </c>
      <c r="AF25" t="s">
        <v>1437</v>
      </c>
      <c r="AG25" t="s">
        <v>58</v>
      </c>
      <c r="BX25" t="s">
        <v>1724</v>
      </c>
    </row>
    <row r="26" spans="1:81" ht="30" hidden="1" customHeight="1">
      <c r="A26" s="32" t="s">
        <v>136</v>
      </c>
      <c r="B26" s="32" t="s">
        <v>79</v>
      </c>
      <c r="C26" s="23">
        <v>303</v>
      </c>
      <c r="D26" s="23" t="s">
        <v>137</v>
      </c>
      <c r="E26" s="23">
        <v>2</v>
      </c>
      <c r="F26" s="23"/>
      <c r="G26" s="23" t="s">
        <v>52</v>
      </c>
      <c r="H26" s="23"/>
      <c r="I26" s="23"/>
      <c r="J26" s="23"/>
      <c r="K26" s="34" t="s">
        <v>138</v>
      </c>
      <c r="L26" s="23" t="s">
        <v>119</v>
      </c>
      <c r="M26" s="23"/>
      <c r="N26" s="23"/>
      <c r="O26" s="23"/>
      <c r="P26" s="23"/>
      <c r="Q26" s="23"/>
      <c r="R26" s="23"/>
      <c r="S26" s="23" t="s">
        <v>64</v>
      </c>
      <c r="T26" s="23"/>
      <c r="U26" s="23" t="s">
        <v>17</v>
      </c>
      <c r="V26" s="23"/>
      <c r="W26" s="33">
        <v>1.18</v>
      </c>
      <c r="Y26" t="s">
        <v>102</v>
      </c>
      <c r="Z26" t="s">
        <v>53</v>
      </c>
      <c r="AA26" t="s">
        <v>51</v>
      </c>
      <c r="AB26" t="s">
        <v>72</v>
      </c>
      <c r="AF26" t="s">
        <v>1437</v>
      </c>
      <c r="AG26" t="s">
        <v>58</v>
      </c>
      <c r="BX26" t="s">
        <v>1725</v>
      </c>
    </row>
    <row r="27" spans="1:81" hidden="1">
      <c r="A27" s="32" t="s">
        <v>139</v>
      </c>
      <c r="B27" s="32" t="s">
        <v>79</v>
      </c>
      <c r="C27" s="23">
        <v>304</v>
      </c>
      <c r="D27" s="23" t="s">
        <v>140</v>
      </c>
      <c r="E27" s="23">
        <v>2</v>
      </c>
      <c r="F27" s="23"/>
      <c r="G27" s="23" t="s">
        <v>52</v>
      </c>
      <c r="H27" s="23"/>
      <c r="I27" s="23"/>
      <c r="J27" s="23"/>
      <c r="K27" s="23" t="s">
        <v>141</v>
      </c>
      <c r="L27" s="23" t="s">
        <v>119</v>
      </c>
      <c r="M27" s="23"/>
      <c r="N27" s="23"/>
      <c r="O27" s="23"/>
      <c r="P27" s="23"/>
      <c r="Q27" s="23"/>
      <c r="R27" s="23"/>
      <c r="S27" s="23" t="s">
        <v>64</v>
      </c>
      <c r="T27" s="23"/>
      <c r="U27" s="23" t="s">
        <v>17</v>
      </c>
      <c r="V27" s="23"/>
      <c r="W27" s="33">
        <v>6.6000000000000003E-2</v>
      </c>
      <c r="X27" s="25"/>
      <c r="Y27" t="s">
        <v>102</v>
      </c>
      <c r="Z27" t="s">
        <v>53</v>
      </c>
      <c r="AA27" t="s">
        <v>51</v>
      </c>
      <c r="AB27" t="s">
        <v>72</v>
      </c>
      <c r="AF27" t="s">
        <v>1437</v>
      </c>
      <c r="AG27" t="s">
        <v>58</v>
      </c>
      <c r="BX27" t="s">
        <v>1726</v>
      </c>
      <c r="BY27" t="s">
        <v>1727</v>
      </c>
    </row>
    <row r="28" spans="1:81" ht="30" hidden="1" customHeight="1">
      <c r="A28" s="32" t="s">
        <v>142</v>
      </c>
      <c r="B28" s="32" t="s">
        <v>79</v>
      </c>
      <c r="C28" s="23">
        <v>305</v>
      </c>
      <c r="D28" s="23" t="s">
        <v>143</v>
      </c>
      <c r="E28" s="23">
        <v>1</v>
      </c>
      <c r="F28" s="23"/>
      <c r="G28" s="23" t="s">
        <v>52</v>
      </c>
      <c r="H28" s="23"/>
      <c r="I28" s="23"/>
      <c r="J28" s="23"/>
      <c r="K28" s="34" t="s">
        <v>144</v>
      </c>
      <c r="L28" s="23" t="s">
        <v>119</v>
      </c>
      <c r="M28" s="23"/>
      <c r="N28" s="23"/>
      <c r="O28" s="23"/>
      <c r="P28" s="23"/>
      <c r="Q28" s="23"/>
      <c r="R28" s="23"/>
      <c r="S28" s="23" t="s">
        <v>64</v>
      </c>
      <c r="T28" s="23"/>
      <c r="U28" s="23" t="s">
        <v>17</v>
      </c>
      <c r="V28" s="23"/>
      <c r="W28" s="33">
        <v>1E-3</v>
      </c>
      <c r="Y28" t="s">
        <v>102</v>
      </c>
      <c r="Z28" t="s">
        <v>53</v>
      </c>
      <c r="AA28" t="s">
        <v>51</v>
      </c>
      <c r="AB28" t="s">
        <v>72</v>
      </c>
      <c r="AF28" t="s">
        <v>1437</v>
      </c>
      <c r="AG28" t="s">
        <v>58</v>
      </c>
      <c r="BX28" t="s">
        <v>1728</v>
      </c>
      <c r="BY28" t="s">
        <v>1729</v>
      </c>
    </row>
    <row r="29" spans="1:81" ht="60" hidden="1" customHeight="1">
      <c r="A29" s="32" t="s">
        <v>145</v>
      </c>
      <c r="B29" s="32" t="s">
        <v>79</v>
      </c>
      <c r="C29" s="23">
        <v>306</v>
      </c>
      <c r="D29" s="23" t="s">
        <v>146</v>
      </c>
      <c r="E29" s="23">
        <v>3</v>
      </c>
      <c r="F29" s="23"/>
      <c r="G29" s="23" t="s">
        <v>52</v>
      </c>
      <c r="H29" s="23"/>
      <c r="I29" s="23"/>
      <c r="J29" s="23"/>
      <c r="K29" s="34" t="s">
        <v>147</v>
      </c>
      <c r="L29" s="23" t="s">
        <v>119</v>
      </c>
      <c r="M29" s="23"/>
      <c r="N29" s="23"/>
      <c r="O29" s="23"/>
      <c r="P29" s="23"/>
      <c r="Q29" s="23"/>
      <c r="R29" s="23"/>
      <c r="S29" s="23" t="s">
        <v>64</v>
      </c>
      <c r="T29" s="23"/>
      <c r="U29" s="23" t="s">
        <v>17</v>
      </c>
      <c r="V29" s="23"/>
      <c r="W29" s="33">
        <v>0.01</v>
      </c>
      <c r="X29" s="25"/>
      <c r="Y29" t="s">
        <v>102</v>
      </c>
      <c r="Z29" t="s">
        <v>53</v>
      </c>
      <c r="AA29" t="s">
        <v>51</v>
      </c>
      <c r="AB29" t="s">
        <v>72</v>
      </c>
      <c r="AF29" t="s">
        <v>1437</v>
      </c>
      <c r="AG29" t="s">
        <v>58</v>
      </c>
      <c r="BX29" t="s">
        <v>1730</v>
      </c>
    </row>
    <row r="30" spans="1:81" hidden="1">
      <c r="A30" s="32" t="s">
        <v>148</v>
      </c>
      <c r="B30" s="32" t="s">
        <v>79</v>
      </c>
      <c r="C30" s="23">
        <v>307</v>
      </c>
      <c r="D30" s="23">
        <v>5038300</v>
      </c>
      <c r="E30" s="23">
        <v>2</v>
      </c>
      <c r="F30" s="23"/>
      <c r="G30" s="23" t="s">
        <v>52</v>
      </c>
      <c r="H30" s="23" t="s">
        <v>149</v>
      </c>
      <c r="I30" s="23"/>
      <c r="J30" s="23"/>
      <c r="K30" s="23" t="s">
        <v>150</v>
      </c>
      <c r="L30" s="23" t="s">
        <v>119</v>
      </c>
      <c r="M30" s="23"/>
      <c r="N30" s="23"/>
      <c r="O30" s="23"/>
      <c r="P30" s="23"/>
      <c r="Q30" s="23"/>
      <c r="R30" s="23"/>
      <c r="S30" s="23" t="s">
        <v>64</v>
      </c>
      <c r="T30" s="23"/>
      <c r="U30" s="23" t="s">
        <v>17</v>
      </c>
      <c r="V30" s="23"/>
      <c r="W30" s="33">
        <v>0.05</v>
      </c>
      <c r="X30" s="25"/>
      <c r="Y30" t="s">
        <v>102</v>
      </c>
      <c r="Z30" t="s">
        <v>53</v>
      </c>
      <c r="AA30" t="s">
        <v>51</v>
      </c>
      <c r="AB30" t="s">
        <v>72</v>
      </c>
      <c r="AF30" t="s">
        <v>1437</v>
      </c>
      <c r="AG30" t="s">
        <v>58</v>
      </c>
      <c r="BX30" t="s">
        <v>1731</v>
      </c>
      <c r="BY30" t="s">
        <v>1732</v>
      </c>
      <c r="BZ30" t="s">
        <v>763</v>
      </c>
      <c r="CA30" t="s">
        <v>1733</v>
      </c>
      <c r="CB30" t="s">
        <v>1734</v>
      </c>
    </row>
    <row r="31" spans="1:81" ht="30" hidden="1" customHeight="1">
      <c r="A31" s="32" t="s">
        <v>151</v>
      </c>
      <c r="B31" s="32" t="s">
        <v>79</v>
      </c>
      <c r="C31" s="23">
        <v>308</v>
      </c>
      <c r="D31" s="23">
        <v>3661300</v>
      </c>
      <c r="E31" s="23">
        <v>2</v>
      </c>
      <c r="F31" s="23"/>
      <c r="G31" s="23" t="s">
        <v>52</v>
      </c>
      <c r="H31" s="23"/>
      <c r="I31" s="23"/>
      <c r="J31" s="23"/>
      <c r="K31" s="34" t="s">
        <v>152</v>
      </c>
      <c r="L31" s="23" t="s">
        <v>119</v>
      </c>
      <c r="M31" s="23"/>
      <c r="N31" s="23"/>
      <c r="O31" s="23"/>
      <c r="P31" s="23"/>
      <c r="Q31" s="23"/>
      <c r="R31" s="23"/>
      <c r="S31" s="23" t="s">
        <v>64</v>
      </c>
      <c r="T31" s="23"/>
      <c r="U31" s="23" t="s">
        <v>17</v>
      </c>
      <c r="V31" s="23"/>
      <c r="W31" s="33">
        <v>0.02</v>
      </c>
      <c r="X31" s="25"/>
      <c r="Y31" t="s">
        <v>102</v>
      </c>
      <c r="Z31" t="s">
        <v>53</v>
      </c>
      <c r="AA31" t="s">
        <v>51</v>
      </c>
      <c r="AB31" t="s">
        <v>72</v>
      </c>
      <c r="AF31" t="s">
        <v>1437</v>
      </c>
      <c r="AG31" t="s">
        <v>58</v>
      </c>
      <c r="BX31" t="s">
        <v>1735</v>
      </c>
    </row>
    <row r="32" spans="1:81" hidden="1">
      <c r="A32" s="29" t="s">
        <v>153</v>
      </c>
      <c r="B32" s="29" t="s">
        <v>74</v>
      </c>
      <c r="C32" s="30">
        <v>3</v>
      </c>
      <c r="D32" s="30" t="s">
        <v>154</v>
      </c>
      <c r="E32" s="30">
        <v>1</v>
      </c>
      <c r="F32" s="30"/>
      <c r="G32" s="30" t="s">
        <v>52</v>
      </c>
      <c r="H32" s="30"/>
      <c r="I32" s="30"/>
      <c r="J32" s="30"/>
      <c r="K32" s="30" t="s">
        <v>155</v>
      </c>
      <c r="L32" s="30" t="s">
        <v>154</v>
      </c>
      <c r="M32" s="30">
        <v>2</v>
      </c>
      <c r="N32" s="30">
        <v>0</v>
      </c>
      <c r="O32" s="23"/>
      <c r="P32" s="23"/>
      <c r="Q32" s="23"/>
      <c r="R32" s="23"/>
      <c r="S32" s="23" t="s">
        <v>64</v>
      </c>
      <c r="T32" s="23"/>
      <c r="U32" s="23" t="s">
        <v>54</v>
      </c>
      <c r="V32" s="23"/>
      <c r="W32" s="31">
        <v>10.212</v>
      </c>
      <c r="Y32" t="s">
        <v>40</v>
      </c>
      <c r="Z32" t="s">
        <v>53</v>
      </c>
      <c r="AA32" t="s">
        <v>51</v>
      </c>
      <c r="AB32" t="s">
        <v>72</v>
      </c>
      <c r="AF32" t="s">
        <v>1437</v>
      </c>
      <c r="AG32" t="s">
        <v>58</v>
      </c>
      <c r="BX32" t="s">
        <v>155</v>
      </c>
    </row>
    <row r="33" spans="1:98" hidden="1">
      <c r="A33" s="29" t="s">
        <v>156</v>
      </c>
      <c r="B33" s="29" t="s">
        <v>79</v>
      </c>
      <c r="C33" s="30">
        <v>1</v>
      </c>
      <c r="D33" s="30" t="s">
        <v>157</v>
      </c>
      <c r="E33" s="30">
        <v>1</v>
      </c>
      <c r="F33" s="30"/>
      <c r="G33" s="30" t="s">
        <v>52</v>
      </c>
      <c r="H33" s="30"/>
      <c r="I33" s="30"/>
      <c r="J33" s="30"/>
      <c r="K33" s="30" t="s">
        <v>158</v>
      </c>
      <c r="L33" s="30" t="s">
        <v>157</v>
      </c>
      <c r="M33" s="30">
        <v>3</v>
      </c>
      <c r="N33" s="30">
        <v>0</v>
      </c>
      <c r="O33" s="23"/>
      <c r="P33" s="23"/>
      <c r="Q33" s="23"/>
      <c r="R33" s="23"/>
      <c r="S33" s="23" t="s">
        <v>64</v>
      </c>
      <c r="T33" s="23"/>
      <c r="U33" s="23" t="s">
        <v>54</v>
      </c>
      <c r="V33" s="23"/>
      <c r="W33" s="31">
        <v>5.2910000000000004</v>
      </c>
      <c r="X33" s="25"/>
      <c r="Y33" t="s">
        <v>40</v>
      </c>
      <c r="Z33" t="s">
        <v>53</v>
      </c>
      <c r="AA33" t="s">
        <v>51</v>
      </c>
      <c r="AB33" t="s">
        <v>72</v>
      </c>
      <c r="AF33" t="s">
        <v>1437</v>
      </c>
      <c r="AG33" t="s">
        <v>58</v>
      </c>
      <c r="BX33" t="s">
        <v>158</v>
      </c>
    </row>
    <row r="34" spans="1:98" s="79" customFormat="1">
      <c r="A34" s="80" t="s">
        <v>159</v>
      </c>
      <c r="B34" s="80" t="s">
        <v>83</v>
      </c>
      <c r="C34" s="81">
        <v>1</v>
      </c>
      <c r="D34" s="81">
        <v>3681100</v>
      </c>
      <c r="E34" s="81">
        <v>1</v>
      </c>
      <c r="F34" s="81">
        <v>9.5000000000000001E-2</v>
      </c>
      <c r="G34" s="81" t="s">
        <v>89</v>
      </c>
      <c r="H34" s="81">
        <v>215</v>
      </c>
      <c r="I34" s="81" t="s">
        <v>85</v>
      </c>
      <c r="J34" s="81">
        <v>442</v>
      </c>
      <c r="K34" s="81" t="s">
        <v>160</v>
      </c>
      <c r="L34" s="81" t="s">
        <v>157</v>
      </c>
      <c r="M34" s="81"/>
      <c r="N34" s="81"/>
      <c r="O34" s="23"/>
      <c r="P34" s="23"/>
      <c r="Q34" s="23"/>
      <c r="R34" s="23"/>
      <c r="S34" s="23" t="s">
        <v>64</v>
      </c>
      <c r="T34" s="23"/>
      <c r="U34" s="23" t="s">
        <v>87</v>
      </c>
      <c r="V34" s="23"/>
      <c r="W34" s="82">
        <v>0</v>
      </c>
      <c r="Y34" s="79" t="s">
        <v>161</v>
      </c>
      <c r="Z34" s="79" t="s">
        <v>53</v>
      </c>
      <c r="AA34" s="79" t="s">
        <v>51</v>
      </c>
      <c r="AB34" s="79" t="s">
        <v>72</v>
      </c>
      <c r="AF34" s="79" t="s">
        <v>1437</v>
      </c>
      <c r="AG34" s="79" t="s">
        <v>58</v>
      </c>
      <c r="AI34" s="79" t="str">
        <f>BY34&amp;"_"&amp;CB34&amp;"_"&amp;L34&amp;"_p"&amp;C34&amp;"_"&amp;E34&amp;"st_"&amp;AK34&amp;"_"&amp;RIGHT(AG34,4)&amp;"_"&amp;AL34</f>
        <v>12_S235_SL40033136_p1_1st_G_2050_</v>
      </c>
      <c r="AK34" s="79" t="s">
        <v>1900</v>
      </c>
      <c r="AM34" s="79" t="s">
        <v>1675</v>
      </c>
      <c r="AO34"/>
      <c r="AP34"/>
      <c r="AQ34"/>
      <c r="AR34"/>
      <c r="AS34"/>
      <c r="AT34"/>
      <c r="AU34"/>
      <c r="AV34"/>
      <c r="AW34"/>
      <c r="AX34"/>
      <c r="AY34"/>
      <c r="AZ34" s="83" t="s">
        <v>1445</v>
      </c>
      <c r="BA34" s="83" t="s">
        <v>1446</v>
      </c>
      <c r="BX34" s="79" t="s">
        <v>1691</v>
      </c>
      <c r="BY34" s="79">
        <v>12</v>
      </c>
      <c r="BZ34" s="79" t="s">
        <v>1692</v>
      </c>
      <c r="CA34" s="79" t="s">
        <v>1693</v>
      </c>
      <c r="CB34" s="79" t="s">
        <v>1895</v>
      </c>
      <c r="CG34" s="79">
        <v>12</v>
      </c>
      <c r="CH34" s="79" t="s">
        <v>1895</v>
      </c>
      <c r="CI34" s="79" t="s">
        <v>157</v>
      </c>
      <c r="CJ34" s="79" t="s">
        <v>1898</v>
      </c>
      <c r="CK34" s="79" t="s">
        <v>1899</v>
      </c>
      <c r="CL34" s="79" t="s">
        <v>1900</v>
      </c>
      <c r="CM34" s="79">
        <v>1583</v>
      </c>
      <c r="CR34" s="79" t="s">
        <v>1945</v>
      </c>
      <c r="CT34" s="79" t="s">
        <v>1900</v>
      </c>
    </row>
    <row r="35" spans="1:98" hidden="1">
      <c r="A35" s="29" t="s">
        <v>162</v>
      </c>
      <c r="B35" s="29" t="s">
        <v>79</v>
      </c>
      <c r="C35" s="30">
        <v>2</v>
      </c>
      <c r="D35" s="30" t="s">
        <v>163</v>
      </c>
      <c r="E35" s="30">
        <v>2</v>
      </c>
      <c r="F35" s="30"/>
      <c r="G35" s="30" t="s">
        <v>52</v>
      </c>
      <c r="H35" s="30"/>
      <c r="I35" s="30"/>
      <c r="J35" s="30"/>
      <c r="K35" s="30" t="s">
        <v>164</v>
      </c>
      <c r="L35" s="30" t="s">
        <v>163</v>
      </c>
      <c r="M35" s="30">
        <v>4</v>
      </c>
      <c r="N35" s="30"/>
      <c r="O35" s="23"/>
      <c r="P35" s="23"/>
      <c r="Q35" s="23"/>
      <c r="R35" s="23"/>
      <c r="S35" s="23" t="s">
        <v>64</v>
      </c>
      <c r="T35" s="23"/>
      <c r="U35" s="23" t="s">
        <v>54</v>
      </c>
      <c r="V35" s="23"/>
      <c r="W35" s="31">
        <v>1.0840000000000001</v>
      </c>
      <c r="X35" s="25"/>
      <c r="Y35" t="s">
        <v>40</v>
      </c>
      <c r="Z35" t="s">
        <v>53</v>
      </c>
      <c r="AA35" t="s">
        <v>51</v>
      </c>
      <c r="AB35" t="s">
        <v>72</v>
      </c>
      <c r="AF35" t="s">
        <v>1437</v>
      </c>
      <c r="AG35" t="s">
        <v>58</v>
      </c>
      <c r="BX35" t="s">
        <v>164</v>
      </c>
    </row>
    <row r="36" spans="1:98" s="79" customFormat="1">
      <c r="A36" s="80" t="s">
        <v>165</v>
      </c>
      <c r="B36" s="80" t="s">
        <v>83</v>
      </c>
      <c r="C36" s="81">
        <v>1</v>
      </c>
      <c r="D36" s="81">
        <v>8300</v>
      </c>
      <c r="E36" s="81">
        <v>2</v>
      </c>
      <c r="F36" s="81">
        <v>4.3999999999999997E-2</v>
      </c>
      <c r="G36" s="81" t="s">
        <v>89</v>
      </c>
      <c r="H36" s="81">
        <v>315</v>
      </c>
      <c r="I36" s="81" t="s">
        <v>85</v>
      </c>
      <c r="J36" s="81">
        <v>70</v>
      </c>
      <c r="K36" s="81" t="s">
        <v>166</v>
      </c>
      <c r="L36" s="81" t="s">
        <v>163</v>
      </c>
      <c r="M36" s="81"/>
      <c r="N36" s="81"/>
      <c r="O36" s="23"/>
      <c r="P36" s="23"/>
      <c r="Q36" s="23"/>
      <c r="R36" s="23"/>
      <c r="S36" s="23" t="s">
        <v>64</v>
      </c>
      <c r="T36" s="23"/>
      <c r="U36" s="23" t="s">
        <v>87</v>
      </c>
      <c r="V36" s="23"/>
      <c r="W36" s="82">
        <v>0</v>
      </c>
      <c r="X36" s="84"/>
      <c r="Y36" s="79" t="s">
        <v>161</v>
      </c>
      <c r="Z36" s="79" t="s">
        <v>53</v>
      </c>
      <c r="AA36" s="79" t="s">
        <v>51</v>
      </c>
      <c r="AB36" s="79" t="s">
        <v>72</v>
      </c>
      <c r="AF36" s="79" t="s">
        <v>1437</v>
      </c>
      <c r="AG36" s="79" t="s">
        <v>58</v>
      </c>
      <c r="AI36" s="79" t="str">
        <f>BY36&amp;"_"&amp;CB36&amp;"_"&amp;L36&amp;"_p"&amp;C36&amp;"_"&amp;E36&amp;"st_"&amp;AK36&amp;"_"&amp;RIGHT(AG36,4)&amp;"_"&amp;AL36</f>
        <v>8_S235_SL40033947_p1_2st__2050_</v>
      </c>
      <c r="AM36" s="79" t="s">
        <v>1675</v>
      </c>
      <c r="AO36"/>
      <c r="AP36"/>
      <c r="AQ36"/>
      <c r="AR36"/>
      <c r="AS36"/>
      <c r="AT36"/>
      <c r="AU36"/>
      <c r="AV36"/>
      <c r="AW36"/>
      <c r="AX36"/>
      <c r="AY36"/>
      <c r="AZ36" s="83" t="s">
        <v>1447</v>
      </c>
      <c r="BA36" s="83" t="s">
        <v>1448</v>
      </c>
      <c r="BX36" s="79" t="s">
        <v>1691</v>
      </c>
      <c r="BY36" s="79">
        <v>8</v>
      </c>
      <c r="BZ36" s="79" t="s">
        <v>1692</v>
      </c>
      <c r="CA36" s="79" t="s">
        <v>1736</v>
      </c>
      <c r="CB36" s="79" t="s">
        <v>1895</v>
      </c>
      <c r="CG36" s="79">
        <v>8</v>
      </c>
      <c r="CH36" s="79" t="s">
        <v>1895</v>
      </c>
      <c r="CI36" s="79" t="s">
        <v>163</v>
      </c>
      <c r="CJ36" s="79" t="s">
        <v>1898</v>
      </c>
      <c r="CK36" s="79" t="s">
        <v>1899</v>
      </c>
      <c r="CM36" s="79">
        <v>3902</v>
      </c>
      <c r="CN36" s="79">
        <v>1</v>
      </c>
      <c r="CR36" s="79" t="s">
        <v>1946</v>
      </c>
    </row>
    <row r="37" spans="1:98" hidden="1">
      <c r="A37" s="32" t="s">
        <v>167</v>
      </c>
      <c r="B37" s="32" t="s">
        <v>79</v>
      </c>
      <c r="C37" s="23">
        <v>101</v>
      </c>
      <c r="D37" s="23">
        <v>24725700</v>
      </c>
      <c r="E37" s="23">
        <v>7</v>
      </c>
      <c r="F37" s="23"/>
      <c r="G37" s="23" t="s">
        <v>52</v>
      </c>
      <c r="H37" s="23" t="s">
        <v>168</v>
      </c>
      <c r="I37" s="23"/>
      <c r="J37" s="23"/>
      <c r="K37" s="23" t="s">
        <v>169</v>
      </c>
      <c r="L37" s="23" t="s">
        <v>163</v>
      </c>
      <c r="M37" s="23"/>
      <c r="N37" s="23"/>
      <c r="O37" s="23"/>
      <c r="P37" s="23"/>
      <c r="Q37" s="23"/>
      <c r="R37" s="23"/>
      <c r="S37" s="23" t="s">
        <v>64</v>
      </c>
      <c r="T37" s="23"/>
      <c r="U37" s="23" t="s">
        <v>17</v>
      </c>
      <c r="V37" s="23"/>
      <c r="W37" s="33">
        <v>0.1</v>
      </c>
      <c r="Y37" t="s">
        <v>124</v>
      </c>
      <c r="Z37" t="s">
        <v>53</v>
      </c>
      <c r="AA37" t="s">
        <v>51</v>
      </c>
      <c r="AB37" t="s">
        <v>72</v>
      </c>
      <c r="AF37" t="s">
        <v>1437</v>
      </c>
      <c r="AG37" t="s">
        <v>58</v>
      </c>
      <c r="BX37" t="s">
        <v>1713</v>
      </c>
      <c r="BY37" t="s">
        <v>1738</v>
      </c>
      <c r="BZ37" t="s">
        <v>1714</v>
      </c>
      <c r="CA37" s="76">
        <v>46242</v>
      </c>
      <c r="CB37" t="s">
        <v>1715</v>
      </c>
      <c r="CC37" t="s">
        <v>1716</v>
      </c>
    </row>
    <row r="38" spans="1:98" hidden="1">
      <c r="A38" s="32" t="s">
        <v>170</v>
      </c>
      <c r="B38" s="32" t="s">
        <v>79</v>
      </c>
      <c r="C38" s="23">
        <v>102</v>
      </c>
      <c r="D38" s="23">
        <v>5115300</v>
      </c>
      <c r="E38" s="23">
        <v>7</v>
      </c>
      <c r="F38" s="23"/>
      <c r="G38" s="23" t="s">
        <v>52</v>
      </c>
      <c r="H38" s="23">
        <v>17</v>
      </c>
      <c r="I38" s="23"/>
      <c r="J38" s="23"/>
      <c r="K38" s="23" t="s">
        <v>171</v>
      </c>
      <c r="L38" s="23" t="s">
        <v>163</v>
      </c>
      <c r="M38" s="23"/>
      <c r="N38" s="23"/>
      <c r="O38" s="23"/>
      <c r="P38" s="23"/>
      <c r="Q38" s="23"/>
      <c r="R38" s="23"/>
      <c r="S38" s="23" t="s">
        <v>64</v>
      </c>
      <c r="T38" s="23"/>
      <c r="U38" s="23" t="s">
        <v>17</v>
      </c>
      <c r="V38" s="23"/>
      <c r="W38" s="33">
        <v>1.0999999999999999E-2</v>
      </c>
      <c r="Y38" t="s">
        <v>124</v>
      </c>
      <c r="Z38" t="s">
        <v>53</v>
      </c>
      <c r="AA38" t="s">
        <v>51</v>
      </c>
      <c r="AB38" t="s">
        <v>72</v>
      </c>
      <c r="AF38" t="s">
        <v>1437</v>
      </c>
      <c r="AG38" t="s">
        <v>58</v>
      </c>
      <c r="BX38" t="s">
        <v>1719</v>
      </c>
      <c r="BY38" t="s">
        <v>1739</v>
      </c>
      <c r="BZ38" t="s">
        <v>1720</v>
      </c>
      <c r="CB38" t="s">
        <v>1721</v>
      </c>
    </row>
    <row r="39" spans="1:98" hidden="1">
      <c r="A39" s="32" t="s">
        <v>172</v>
      </c>
      <c r="B39" s="32" t="s">
        <v>79</v>
      </c>
      <c r="C39" s="23">
        <v>103</v>
      </c>
      <c r="D39" s="23">
        <v>2644200</v>
      </c>
      <c r="E39" s="23">
        <v>2</v>
      </c>
      <c r="F39" s="23"/>
      <c r="G39" s="23" t="s">
        <v>52</v>
      </c>
      <c r="H39" s="23" t="s">
        <v>173</v>
      </c>
      <c r="I39" s="23"/>
      <c r="J39" s="23"/>
      <c r="K39" s="23" t="s">
        <v>174</v>
      </c>
      <c r="L39" s="23" t="s">
        <v>163</v>
      </c>
      <c r="M39" s="23"/>
      <c r="N39" s="23"/>
      <c r="O39" s="23"/>
      <c r="P39" s="23"/>
      <c r="Q39" s="23"/>
      <c r="R39" s="23"/>
      <c r="S39" s="23" t="s">
        <v>64</v>
      </c>
      <c r="T39" s="23"/>
      <c r="U39" s="23" t="s">
        <v>17</v>
      </c>
      <c r="V39" s="23"/>
      <c r="W39" s="33">
        <v>0.65</v>
      </c>
      <c r="Y39" t="s">
        <v>124</v>
      </c>
      <c r="Z39" t="s">
        <v>53</v>
      </c>
      <c r="AA39" t="s">
        <v>51</v>
      </c>
      <c r="AB39" t="s">
        <v>72</v>
      </c>
      <c r="AF39" t="s">
        <v>1437</v>
      </c>
      <c r="AG39" t="s">
        <v>58</v>
      </c>
      <c r="BX39" t="s">
        <v>1713</v>
      </c>
      <c r="BY39" t="s">
        <v>173</v>
      </c>
      <c r="BZ39" t="s">
        <v>1714</v>
      </c>
      <c r="CA39" s="76">
        <v>46242</v>
      </c>
      <c r="CB39" t="s">
        <v>1740</v>
      </c>
    </row>
    <row r="40" spans="1:98" hidden="1">
      <c r="A40" s="32" t="s">
        <v>175</v>
      </c>
      <c r="B40" s="32" t="s">
        <v>79</v>
      </c>
      <c r="C40" s="23">
        <v>104</v>
      </c>
      <c r="D40" s="23">
        <v>30771100</v>
      </c>
      <c r="E40" s="23">
        <v>2</v>
      </c>
      <c r="F40" s="23"/>
      <c r="G40" s="23" t="s">
        <v>52</v>
      </c>
      <c r="H40" s="23" t="s">
        <v>176</v>
      </c>
      <c r="I40" s="23"/>
      <c r="J40" s="23"/>
      <c r="K40" s="23" t="s">
        <v>177</v>
      </c>
      <c r="L40" s="23" t="s">
        <v>163</v>
      </c>
      <c r="M40" s="23"/>
      <c r="N40" s="23"/>
      <c r="O40" s="23"/>
      <c r="P40" s="23"/>
      <c r="Q40" s="23"/>
      <c r="R40" s="23"/>
      <c r="S40" s="23" t="s">
        <v>64</v>
      </c>
      <c r="T40" s="23"/>
      <c r="U40" s="23" t="s">
        <v>17</v>
      </c>
      <c r="V40" s="23"/>
      <c r="W40" s="33">
        <v>0.23</v>
      </c>
      <c r="X40" s="25"/>
      <c r="Y40" t="s">
        <v>124</v>
      </c>
      <c r="Z40" t="s">
        <v>53</v>
      </c>
      <c r="AA40" t="s">
        <v>51</v>
      </c>
      <c r="AB40" t="s">
        <v>72</v>
      </c>
      <c r="AF40" t="s">
        <v>1437</v>
      </c>
      <c r="AG40" t="s">
        <v>58</v>
      </c>
      <c r="BX40" t="s">
        <v>1717</v>
      </c>
      <c r="BY40" t="s">
        <v>176</v>
      </c>
      <c r="BZ40" t="s">
        <v>1718</v>
      </c>
      <c r="CA40">
        <v>8</v>
      </c>
      <c r="CB40" t="s">
        <v>1740</v>
      </c>
    </row>
    <row r="41" spans="1:98" hidden="1">
      <c r="A41" s="32" t="s">
        <v>178</v>
      </c>
      <c r="B41" s="32" t="s">
        <v>79</v>
      </c>
      <c r="C41" s="23">
        <v>105</v>
      </c>
      <c r="D41" s="23">
        <v>2499100</v>
      </c>
      <c r="E41" s="23">
        <v>4</v>
      </c>
      <c r="F41" s="23"/>
      <c r="G41" s="23" t="s">
        <v>52</v>
      </c>
      <c r="H41" s="23"/>
      <c r="I41" s="23"/>
      <c r="J41" s="23"/>
      <c r="K41" s="23" t="s">
        <v>179</v>
      </c>
      <c r="L41" s="23" t="s">
        <v>163</v>
      </c>
      <c r="M41" s="23"/>
      <c r="N41" s="23"/>
      <c r="O41" s="23"/>
      <c r="P41" s="23"/>
      <c r="Q41" s="23"/>
      <c r="R41" s="23"/>
      <c r="S41" s="23" t="s">
        <v>64</v>
      </c>
      <c r="T41" s="23"/>
      <c r="U41" s="23" t="s">
        <v>17</v>
      </c>
      <c r="V41" s="23"/>
      <c r="W41" s="33">
        <v>5.3999999999999999E-2</v>
      </c>
      <c r="Y41" t="s">
        <v>124</v>
      </c>
      <c r="Z41" t="s">
        <v>53</v>
      </c>
      <c r="AA41" t="s">
        <v>51</v>
      </c>
      <c r="AB41" t="s">
        <v>72</v>
      </c>
      <c r="AF41" t="s">
        <v>1437</v>
      </c>
      <c r="AG41" t="s">
        <v>58</v>
      </c>
      <c r="BX41" t="s">
        <v>1719</v>
      </c>
      <c r="BY41">
        <v>31</v>
      </c>
      <c r="BZ41" t="s">
        <v>763</v>
      </c>
      <c r="CA41" t="s">
        <v>1720</v>
      </c>
      <c r="CB41" t="s">
        <v>1734</v>
      </c>
    </row>
    <row r="42" spans="1:98" hidden="1">
      <c r="A42" s="29" t="s">
        <v>180</v>
      </c>
      <c r="B42" s="29" t="s">
        <v>74</v>
      </c>
      <c r="C42" s="30">
        <v>4</v>
      </c>
      <c r="D42" s="30" t="s">
        <v>181</v>
      </c>
      <c r="E42" s="30">
        <v>1</v>
      </c>
      <c r="F42" s="30"/>
      <c r="G42" s="30" t="s">
        <v>52</v>
      </c>
      <c r="H42" s="30"/>
      <c r="I42" s="30"/>
      <c r="J42" s="30"/>
      <c r="K42" s="30" t="s">
        <v>182</v>
      </c>
      <c r="L42" s="30" t="s">
        <v>181</v>
      </c>
      <c r="M42" s="30">
        <v>2</v>
      </c>
      <c r="N42" s="30"/>
      <c r="O42" s="23"/>
      <c r="P42" s="23"/>
      <c r="Q42" s="23"/>
      <c r="R42" s="23"/>
      <c r="S42" s="23" t="s">
        <v>64</v>
      </c>
      <c r="T42" s="23"/>
      <c r="U42" s="23" t="s">
        <v>54</v>
      </c>
      <c r="V42" s="23"/>
      <c r="W42" s="31">
        <v>130.75700000000001</v>
      </c>
      <c r="Y42" t="s">
        <v>40</v>
      </c>
      <c r="Z42" t="s">
        <v>53</v>
      </c>
      <c r="AA42" t="s">
        <v>51</v>
      </c>
      <c r="AB42" t="s">
        <v>72</v>
      </c>
      <c r="AF42" t="s">
        <v>1437</v>
      </c>
      <c r="AG42" t="s">
        <v>58</v>
      </c>
      <c r="BX42" t="s">
        <v>182</v>
      </c>
    </row>
    <row r="43" spans="1:98" hidden="1">
      <c r="A43" s="29" t="s">
        <v>183</v>
      </c>
      <c r="B43" s="29" t="s">
        <v>79</v>
      </c>
      <c r="C43" s="30">
        <v>1</v>
      </c>
      <c r="D43" s="30" t="s">
        <v>184</v>
      </c>
      <c r="E43" s="30">
        <v>1</v>
      </c>
      <c r="F43" s="30"/>
      <c r="G43" s="30" t="s">
        <v>52</v>
      </c>
      <c r="H43" s="30"/>
      <c r="I43" s="30"/>
      <c r="J43" s="30"/>
      <c r="K43" s="30" t="s">
        <v>185</v>
      </c>
      <c r="L43" s="30" t="s">
        <v>186</v>
      </c>
      <c r="M43" s="30">
        <v>1</v>
      </c>
      <c r="N43" s="30">
        <v>0</v>
      </c>
      <c r="O43" s="23"/>
      <c r="P43" s="23"/>
      <c r="Q43" s="23"/>
      <c r="R43" s="23"/>
      <c r="S43" s="23" t="s">
        <v>64</v>
      </c>
      <c r="T43" s="23"/>
      <c r="U43" s="23" t="s">
        <v>54</v>
      </c>
      <c r="V43" s="23"/>
      <c r="W43" s="31">
        <v>37.716000000000001</v>
      </c>
      <c r="Y43" t="s">
        <v>40</v>
      </c>
      <c r="Z43" t="s">
        <v>53</v>
      </c>
      <c r="AA43" t="s">
        <v>51</v>
      </c>
      <c r="AB43" t="s">
        <v>72</v>
      </c>
      <c r="AC43" t="s">
        <v>1420</v>
      </c>
      <c r="AF43" t="s">
        <v>1437</v>
      </c>
      <c r="AG43" t="s">
        <v>58</v>
      </c>
      <c r="BX43" t="s">
        <v>185</v>
      </c>
    </row>
    <row r="44" spans="1:98" hidden="1">
      <c r="A44" s="32" t="s">
        <v>187</v>
      </c>
      <c r="B44" s="32" t="s">
        <v>83</v>
      </c>
      <c r="C44" s="23">
        <v>2</v>
      </c>
      <c r="D44" s="23">
        <v>3670100</v>
      </c>
      <c r="E44" s="23">
        <v>1</v>
      </c>
      <c r="F44" s="23">
        <v>0.68</v>
      </c>
      <c r="G44" s="23" t="s">
        <v>89</v>
      </c>
      <c r="H44" s="23">
        <v>808</v>
      </c>
      <c r="I44" s="23" t="s">
        <v>85</v>
      </c>
      <c r="J44" s="23">
        <v>842</v>
      </c>
      <c r="K44" s="23" t="s">
        <v>188</v>
      </c>
      <c r="L44" s="23" t="s">
        <v>186</v>
      </c>
      <c r="M44" s="23"/>
      <c r="N44" s="23"/>
      <c r="O44" s="23"/>
      <c r="P44" s="23"/>
      <c r="Q44" s="23"/>
      <c r="R44" s="23"/>
      <c r="S44" s="23" t="s">
        <v>64</v>
      </c>
      <c r="T44" s="23"/>
      <c r="U44" s="23" t="s">
        <v>87</v>
      </c>
      <c r="V44" s="23"/>
      <c r="W44" s="33">
        <v>0</v>
      </c>
      <c r="Y44" t="s">
        <v>161</v>
      </c>
      <c r="Z44" t="s">
        <v>53</v>
      </c>
      <c r="AA44" t="s">
        <v>51</v>
      </c>
      <c r="AB44" t="s">
        <v>72</v>
      </c>
      <c r="AC44" t="s">
        <v>1420</v>
      </c>
      <c r="AF44" t="s">
        <v>1437</v>
      </c>
      <c r="AG44" t="s">
        <v>58</v>
      </c>
      <c r="AI44" t="str">
        <f t="shared" ref="AI44:AI50" si="0">BY44&amp;"_"&amp;CB44&amp;"_"&amp;L44&amp;"_p"&amp;C44&amp;"_"&amp;E44&amp;"st_"&amp;AK44&amp;"_"&amp;RIGHT(AG44,4)&amp;"_"&amp;AL44</f>
        <v>5_S235_SL40034102_p2_1st__2050_</v>
      </c>
      <c r="AM44" t="s">
        <v>1673</v>
      </c>
      <c r="AZ44" s="64" t="s">
        <v>1449</v>
      </c>
      <c r="BA44" s="64" t="s">
        <v>1450</v>
      </c>
      <c r="BX44" t="s">
        <v>1691</v>
      </c>
      <c r="BY44">
        <v>5</v>
      </c>
      <c r="BZ44" t="s">
        <v>1692</v>
      </c>
      <c r="CA44" t="s">
        <v>1693</v>
      </c>
      <c r="CB44" t="s">
        <v>1895</v>
      </c>
      <c r="CG44">
        <v>5</v>
      </c>
      <c r="CH44" t="s">
        <v>1895</v>
      </c>
      <c r="CI44" t="s">
        <v>186</v>
      </c>
      <c r="CJ44" t="s">
        <v>1901</v>
      </c>
      <c r="CK44" t="s">
        <v>1902</v>
      </c>
      <c r="CL44" t="s">
        <v>1903</v>
      </c>
      <c r="CM44">
        <v>3902</v>
      </c>
      <c r="CN44" t="s">
        <v>54</v>
      </c>
      <c r="CO44">
        <v>3</v>
      </c>
      <c r="CR44" t="s">
        <v>1947</v>
      </c>
    </row>
    <row r="45" spans="1:98" hidden="1">
      <c r="A45" s="32" t="s">
        <v>189</v>
      </c>
      <c r="B45" s="32" t="s">
        <v>83</v>
      </c>
      <c r="C45" s="23">
        <v>3</v>
      </c>
      <c r="D45" s="23">
        <v>8700</v>
      </c>
      <c r="E45" s="23">
        <v>1</v>
      </c>
      <c r="F45" s="23">
        <v>5.5E-2</v>
      </c>
      <c r="G45" s="23" t="s">
        <v>89</v>
      </c>
      <c r="H45" s="23">
        <v>85</v>
      </c>
      <c r="I45" s="23" t="s">
        <v>85</v>
      </c>
      <c r="J45" s="23">
        <v>644.5</v>
      </c>
      <c r="K45" s="23" t="s">
        <v>190</v>
      </c>
      <c r="L45" s="23" t="s">
        <v>186</v>
      </c>
      <c r="M45" s="23"/>
      <c r="N45" s="23"/>
      <c r="O45" s="23"/>
      <c r="P45" s="23"/>
      <c r="Q45" s="23"/>
      <c r="R45" s="23"/>
      <c r="S45" s="23" t="s">
        <v>64</v>
      </c>
      <c r="T45" s="23"/>
      <c r="U45" s="23" t="s">
        <v>87</v>
      </c>
      <c r="V45" s="23"/>
      <c r="W45" s="33">
        <v>0</v>
      </c>
      <c r="Y45" t="s">
        <v>161</v>
      </c>
      <c r="Z45" t="s">
        <v>53</v>
      </c>
      <c r="AA45" t="s">
        <v>51</v>
      </c>
      <c r="AB45" t="s">
        <v>72</v>
      </c>
      <c r="AC45" t="s">
        <v>1420</v>
      </c>
      <c r="AF45" t="s">
        <v>1437</v>
      </c>
      <c r="AG45" t="s">
        <v>58</v>
      </c>
      <c r="AI45" t="str">
        <f t="shared" si="0"/>
        <v>12_S235_SL40034102_p3_1st__2050_</v>
      </c>
      <c r="AM45" t="s">
        <v>1673</v>
      </c>
      <c r="AZ45" s="64" t="s">
        <v>1451</v>
      </c>
      <c r="BA45" s="64" t="s">
        <v>1452</v>
      </c>
      <c r="BX45" t="s">
        <v>1691</v>
      </c>
      <c r="BY45">
        <v>12</v>
      </c>
      <c r="BZ45" t="s">
        <v>1692</v>
      </c>
      <c r="CA45" t="s">
        <v>1736</v>
      </c>
      <c r="CB45" t="s">
        <v>1895</v>
      </c>
      <c r="CG45">
        <v>12</v>
      </c>
      <c r="CH45" t="s">
        <v>1895</v>
      </c>
      <c r="CI45" t="s">
        <v>186</v>
      </c>
      <c r="CJ45" t="s">
        <v>1904</v>
      </c>
      <c r="CK45" t="s">
        <v>1902</v>
      </c>
      <c r="CL45" t="s">
        <v>19</v>
      </c>
      <c r="CM45">
        <v>3902</v>
      </c>
      <c r="CN45">
        <v>7</v>
      </c>
      <c r="CR45" t="s">
        <v>1948</v>
      </c>
    </row>
    <row r="46" spans="1:98" hidden="1">
      <c r="A46" s="32" t="s">
        <v>191</v>
      </c>
      <c r="B46" s="32" t="s">
        <v>83</v>
      </c>
      <c r="C46" s="23">
        <v>5</v>
      </c>
      <c r="D46" s="23">
        <v>8700</v>
      </c>
      <c r="E46" s="23">
        <v>1</v>
      </c>
      <c r="F46" s="23">
        <v>0.13100000000000001</v>
      </c>
      <c r="G46" s="23" t="s">
        <v>89</v>
      </c>
      <c r="H46" s="23">
        <v>203</v>
      </c>
      <c r="I46" s="23" t="s">
        <v>85</v>
      </c>
      <c r="J46" s="23">
        <v>644.5</v>
      </c>
      <c r="K46" s="23" t="s">
        <v>190</v>
      </c>
      <c r="L46" s="23" t="s">
        <v>186</v>
      </c>
      <c r="M46" s="23"/>
      <c r="N46" s="23"/>
      <c r="O46" s="23"/>
      <c r="P46" s="23"/>
      <c r="Q46" s="23"/>
      <c r="R46" s="23"/>
      <c r="S46" s="23" t="s">
        <v>64</v>
      </c>
      <c r="T46" s="23"/>
      <c r="U46" s="23" t="s">
        <v>87</v>
      </c>
      <c r="V46" s="23"/>
      <c r="W46" s="33">
        <v>0</v>
      </c>
      <c r="Y46" t="s">
        <v>161</v>
      </c>
      <c r="Z46" t="s">
        <v>53</v>
      </c>
      <c r="AA46" t="s">
        <v>51</v>
      </c>
      <c r="AB46" t="s">
        <v>72</v>
      </c>
      <c r="AC46" t="s">
        <v>1420</v>
      </c>
      <c r="AF46" t="s">
        <v>1437</v>
      </c>
      <c r="AG46" t="s">
        <v>58</v>
      </c>
      <c r="AI46" t="str">
        <f t="shared" si="0"/>
        <v>12_S235_SL40034102_p5_1st__2050_</v>
      </c>
      <c r="AM46" t="s">
        <v>1673</v>
      </c>
      <c r="AZ46" s="64" t="s">
        <v>1453</v>
      </c>
      <c r="BA46" s="64" t="s">
        <v>1454</v>
      </c>
      <c r="BX46" t="s">
        <v>1691</v>
      </c>
      <c r="BY46">
        <v>12</v>
      </c>
      <c r="BZ46" t="s">
        <v>1692</v>
      </c>
      <c r="CA46" t="s">
        <v>1736</v>
      </c>
      <c r="CB46" t="s">
        <v>1895</v>
      </c>
      <c r="CG46">
        <v>12</v>
      </c>
      <c r="CH46" t="s">
        <v>1895</v>
      </c>
      <c r="CI46" t="s">
        <v>186</v>
      </c>
      <c r="CJ46" t="s">
        <v>1905</v>
      </c>
      <c r="CK46" t="s">
        <v>1902</v>
      </c>
      <c r="CL46" t="s">
        <v>1903</v>
      </c>
      <c r="CM46">
        <v>3902</v>
      </c>
      <c r="CN46" t="s">
        <v>54</v>
      </c>
      <c r="CO46">
        <v>3</v>
      </c>
      <c r="CR46" t="s">
        <v>1949</v>
      </c>
    </row>
    <row r="47" spans="1:98" hidden="1">
      <c r="A47" s="32" t="s">
        <v>192</v>
      </c>
      <c r="B47" s="32" t="s">
        <v>83</v>
      </c>
      <c r="C47" s="23">
        <v>7</v>
      </c>
      <c r="D47" s="23">
        <v>8700</v>
      </c>
      <c r="E47" s="23">
        <v>1</v>
      </c>
      <c r="F47" s="23">
        <v>4.4999999999999998E-2</v>
      </c>
      <c r="G47" s="23" t="s">
        <v>89</v>
      </c>
      <c r="H47" s="23">
        <v>143</v>
      </c>
      <c r="I47" s="23" t="s">
        <v>85</v>
      </c>
      <c r="J47" s="23">
        <v>316.5</v>
      </c>
      <c r="K47" s="23" t="s">
        <v>190</v>
      </c>
      <c r="L47" s="23" t="s">
        <v>186</v>
      </c>
      <c r="M47" s="23"/>
      <c r="N47" s="23"/>
      <c r="O47" s="23"/>
      <c r="P47" s="23"/>
      <c r="Q47" s="23"/>
      <c r="R47" s="23"/>
      <c r="S47" s="23" t="s">
        <v>64</v>
      </c>
      <c r="T47" s="23"/>
      <c r="U47" s="23" t="s">
        <v>87</v>
      </c>
      <c r="V47" s="23"/>
      <c r="W47" s="33">
        <v>0</v>
      </c>
      <c r="Y47" t="s">
        <v>161</v>
      </c>
      <c r="Z47" t="s">
        <v>53</v>
      </c>
      <c r="AA47" t="s">
        <v>51</v>
      </c>
      <c r="AB47" t="s">
        <v>72</v>
      </c>
      <c r="AC47" t="s">
        <v>1420</v>
      </c>
      <c r="AF47" t="s">
        <v>1437</v>
      </c>
      <c r="AG47" t="s">
        <v>58</v>
      </c>
      <c r="AI47" t="str">
        <f t="shared" si="0"/>
        <v>12_S235_SL40034102_p7_1st__2050_</v>
      </c>
      <c r="AM47" t="s">
        <v>1673</v>
      </c>
      <c r="AZ47" s="64" t="s">
        <v>1455</v>
      </c>
      <c r="BA47" s="64" t="s">
        <v>1456</v>
      </c>
      <c r="BX47" t="s">
        <v>1691</v>
      </c>
      <c r="BY47">
        <v>12</v>
      </c>
      <c r="BZ47" t="s">
        <v>1692</v>
      </c>
      <c r="CA47" t="s">
        <v>1736</v>
      </c>
      <c r="CB47" t="s">
        <v>1895</v>
      </c>
      <c r="CG47">
        <v>12</v>
      </c>
      <c r="CH47" t="s">
        <v>1895</v>
      </c>
      <c r="CI47" t="s">
        <v>186</v>
      </c>
      <c r="CJ47" t="s">
        <v>1906</v>
      </c>
      <c r="CK47" t="s">
        <v>1902</v>
      </c>
      <c r="CL47" t="s">
        <v>1903</v>
      </c>
      <c r="CM47">
        <v>3902</v>
      </c>
      <c r="CN47" t="s">
        <v>54</v>
      </c>
      <c r="CO47">
        <v>3</v>
      </c>
      <c r="CR47" t="s">
        <v>1950</v>
      </c>
    </row>
    <row r="48" spans="1:98" hidden="1">
      <c r="A48" s="32" t="s">
        <v>193</v>
      </c>
      <c r="B48" s="32" t="s">
        <v>83</v>
      </c>
      <c r="C48" s="23">
        <v>9</v>
      </c>
      <c r="D48" s="23">
        <v>3670100</v>
      </c>
      <c r="E48" s="23">
        <v>1</v>
      </c>
      <c r="F48" s="23">
        <v>2.8000000000000001E-2</v>
      </c>
      <c r="G48" s="23" t="s">
        <v>89</v>
      </c>
      <c r="H48" s="23">
        <v>331</v>
      </c>
      <c r="I48" s="23" t="s">
        <v>85</v>
      </c>
      <c r="J48" s="23">
        <v>84</v>
      </c>
      <c r="K48" s="23" t="s">
        <v>188</v>
      </c>
      <c r="L48" s="23" t="s">
        <v>186</v>
      </c>
      <c r="M48" s="23"/>
      <c r="N48" s="23"/>
      <c r="O48" s="23"/>
      <c r="P48" s="23"/>
      <c r="Q48" s="23"/>
      <c r="R48" s="23"/>
      <c r="S48" s="23" t="s">
        <v>64</v>
      </c>
      <c r="T48" s="23"/>
      <c r="U48" s="23" t="s">
        <v>87</v>
      </c>
      <c r="V48" s="23"/>
      <c r="W48" s="33">
        <v>0</v>
      </c>
      <c r="Y48" t="s">
        <v>161</v>
      </c>
      <c r="Z48" t="s">
        <v>53</v>
      </c>
      <c r="AA48" t="s">
        <v>51</v>
      </c>
      <c r="AB48" t="s">
        <v>72</v>
      </c>
      <c r="AC48" t="s">
        <v>1420</v>
      </c>
      <c r="AF48" t="s">
        <v>1437</v>
      </c>
      <c r="AG48" t="s">
        <v>58</v>
      </c>
      <c r="AI48" t="str">
        <f t="shared" si="0"/>
        <v>5_S235_SL40034102_p9_1st__2050_</v>
      </c>
      <c r="AM48" t="s">
        <v>1673</v>
      </c>
      <c r="AZ48" s="64" t="s">
        <v>1457</v>
      </c>
      <c r="BA48" s="64" t="s">
        <v>1458</v>
      </c>
      <c r="BX48" t="s">
        <v>1691</v>
      </c>
      <c r="BY48">
        <v>5</v>
      </c>
      <c r="BZ48" t="s">
        <v>1692</v>
      </c>
      <c r="CA48" t="s">
        <v>1693</v>
      </c>
      <c r="CB48" t="s">
        <v>1895</v>
      </c>
      <c r="CG48">
        <v>5</v>
      </c>
      <c r="CH48" t="s">
        <v>1895</v>
      </c>
      <c r="CI48" t="s">
        <v>186</v>
      </c>
      <c r="CJ48" t="s">
        <v>1907</v>
      </c>
      <c r="CK48" t="s">
        <v>1902</v>
      </c>
      <c r="CL48" t="s">
        <v>1903</v>
      </c>
      <c r="CM48">
        <v>3902</v>
      </c>
      <c r="CN48" t="s">
        <v>54</v>
      </c>
      <c r="CO48">
        <v>3</v>
      </c>
      <c r="CR48" t="s">
        <v>1951</v>
      </c>
    </row>
    <row r="49" spans="1:105" hidden="1">
      <c r="A49" s="32" t="s">
        <v>194</v>
      </c>
      <c r="B49" s="32" t="s">
        <v>83</v>
      </c>
      <c r="C49" s="23">
        <v>10</v>
      </c>
      <c r="D49" s="23">
        <v>8700</v>
      </c>
      <c r="E49" s="23">
        <v>1</v>
      </c>
      <c r="F49" s="23">
        <v>3.9E-2</v>
      </c>
      <c r="G49" s="23" t="s">
        <v>89</v>
      </c>
      <c r="H49" s="23">
        <v>125</v>
      </c>
      <c r="I49" s="23" t="s">
        <v>85</v>
      </c>
      <c r="J49" s="23">
        <v>316.5</v>
      </c>
      <c r="K49" s="23" t="s">
        <v>190</v>
      </c>
      <c r="L49" s="23" t="s">
        <v>186</v>
      </c>
      <c r="M49" s="23"/>
      <c r="N49" s="23"/>
      <c r="O49" s="23"/>
      <c r="P49" s="23"/>
      <c r="Q49" s="23"/>
      <c r="R49" s="23"/>
      <c r="S49" s="23" t="s">
        <v>64</v>
      </c>
      <c r="T49" s="23"/>
      <c r="U49" s="23" t="s">
        <v>87</v>
      </c>
      <c r="V49" s="23"/>
      <c r="W49" s="33">
        <v>0</v>
      </c>
      <c r="Y49" t="s">
        <v>161</v>
      </c>
      <c r="Z49" t="s">
        <v>53</v>
      </c>
      <c r="AA49" t="s">
        <v>51</v>
      </c>
      <c r="AB49" t="s">
        <v>72</v>
      </c>
      <c r="AC49" t="s">
        <v>1420</v>
      </c>
      <c r="AF49" t="s">
        <v>1437</v>
      </c>
      <c r="AG49" t="s">
        <v>58</v>
      </c>
      <c r="AI49" t="str">
        <f t="shared" si="0"/>
        <v>12_S235_SL40034102_p10_1st__2050_</v>
      </c>
      <c r="AM49" t="s">
        <v>1673</v>
      </c>
      <c r="AZ49" s="64" t="s">
        <v>1459</v>
      </c>
      <c r="BA49" s="64" t="s">
        <v>1460</v>
      </c>
      <c r="BX49" t="s">
        <v>1691</v>
      </c>
      <c r="BY49">
        <v>12</v>
      </c>
      <c r="BZ49" t="s">
        <v>1692</v>
      </c>
      <c r="CA49" t="s">
        <v>1736</v>
      </c>
      <c r="CB49" t="s">
        <v>1895</v>
      </c>
      <c r="CG49">
        <v>12</v>
      </c>
      <c r="CH49" t="s">
        <v>1895</v>
      </c>
      <c r="CI49" t="s">
        <v>186</v>
      </c>
      <c r="CJ49" t="s">
        <v>1908</v>
      </c>
      <c r="CK49" t="s">
        <v>1902</v>
      </c>
      <c r="CL49" t="s">
        <v>19</v>
      </c>
      <c r="CM49">
        <v>3902</v>
      </c>
      <c r="CN49">
        <v>7</v>
      </c>
      <c r="CR49" t="s">
        <v>1952</v>
      </c>
    </row>
    <row r="50" spans="1:105" hidden="1">
      <c r="A50" s="32" t="s">
        <v>195</v>
      </c>
      <c r="B50" s="32" t="s">
        <v>83</v>
      </c>
      <c r="C50" s="23">
        <v>11</v>
      </c>
      <c r="D50" s="23">
        <v>8700</v>
      </c>
      <c r="E50" s="23">
        <v>1</v>
      </c>
      <c r="F50" s="23">
        <v>6.9000000000000006E-2</v>
      </c>
      <c r="G50" s="23" t="s">
        <v>89</v>
      </c>
      <c r="H50" s="23">
        <v>494</v>
      </c>
      <c r="I50" s="23" t="s">
        <v>85</v>
      </c>
      <c r="J50" s="23">
        <v>140</v>
      </c>
      <c r="K50" s="23" t="s">
        <v>190</v>
      </c>
      <c r="L50" s="23" t="s">
        <v>186</v>
      </c>
      <c r="M50" s="23"/>
      <c r="N50" s="23"/>
      <c r="O50" s="23"/>
      <c r="P50" s="23"/>
      <c r="Q50" s="23"/>
      <c r="R50" s="23"/>
      <c r="S50" s="23" t="s">
        <v>64</v>
      </c>
      <c r="T50" s="23"/>
      <c r="U50" s="23" t="s">
        <v>87</v>
      </c>
      <c r="V50" s="23"/>
      <c r="W50" s="33">
        <v>0</v>
      </c>
      <c r="Y50" t="s">
        <v>161</v>
      </c>
      <c r="Z50" t="s">
        <v>53</v>
      </c>
      <c r="AA50" t="s">
        <v>51</v>
      </c>
      <c r="AB50" t="s">
        <v>72</v>
      </c>
      <c r="AC50" t="s">
        <v>1420</v>
      </c>
      <c r="AF50" t="s">
        <v>1437</v>
      </c>
      <c r="AG50" t="s">
        <v>58</v>
      </c>
      <c r="AI50" t="str">
        <f t="shared" si="0"/>
        <v>12_S235_SL40034102_p11_1st__2050_</v>
      </c>
      <c r="AM50" t="s">
        <v>1673</v>
      </c>
      <c r="AZ50" s="64" t="s">
        <v>1461</v>
      </c>
      <c r="BA50" s="64" t="s">
        <v>1462</v>
      </c>
      <c r="BX50" t="s">
        <v>1691</v>
      </c>
      <c r="BY50">
        <v>12</v>
      </c>
      <c r="BZ50" t="s">
        <v>1692</v>
      </c>
      <c r="CA50" t="s">
        <v>1736</v>
      </c>
      <c r="CB50" t="s">
        <v>1895</v>
      </c>
      <c r="CG50">
        <v>12</v>
      </c>
      <c r="CH50" t="s">
        <v>1895</v>
      </c>
      <c r="CI50" t="s">
        <v>186</v>
      </c>
      <c r="CJ50" t="s">
        <v>1909</v>
      </c>
      <c r="CK50" t="s">
        <v>1902</v>
      </c>
      <c r="CL50" t="s">
        <v>19</v>
      </c>
      <c r="CM50">
        <v>3902</v>
      </c>
      <c r="CN50">
        <v>7</v>
      </c>
      <c r="CR50" t="s">
        <v>1953</v>
      </c>
    </row>
    <row r="51" spans="1:105" hidden="1">
      <c r="A51" s="29" t="s">
        <v>196</v>
      </c>
      <c r="B51" s="29" t="s">
        <v>79</v>
      </c>
      <c r="C51" s="30">
        <v>2</v>
      </c>
      <c r="D51" s="30" t="s">
        <v>186</v>
      </c>
      <c r="E51" s="30">
        <v>1</v>
      </c>
      <c r="F51" s="30"/>
      <c r="G51" s="30" t="s">
        <v>52</v>
      </c>
      <c r="H51" s="30"/>
      <c r="I51" s="30"/>
      <c r="J51" s="30"/>
      <c r="K51" s="30" t="s">
        <v>185</v>
      </c>
      <c r="L51" s="30" t="s">
        <v>186</v>
      </c>
      <c r="M51" s="30">
        <v>1</v>
      </c>
      <c r="N51" s="30">
        <v>0</v>
      </c>
      <c r="O51" s="23"/>
      <c r="P51" s="23"/>
      <c r="Q51" s="23"/>
      <c r="R51" s="23"/>
      <c r="S51" s="23" t="s">
        <v>64</v>
      </c>
      <c r="T51" s="23"/>
      <c r="U51" s="23" t="s">
        <v>54</v>
      </c>
      <c r="V51" s="23"/>
      <c r="W51" s="31">
        <v>37.716000000000001</v>
      </c>
      <c r="Y51" t="s">
        <v>40</v>
      </c>
      <c r="Z51" t="s">
        <v>53</v>
      </c>
      <c r="AA51" t="s">
        <v>51</v>
      </c>
      <c r="AB51" t="s">
        <v>72</v>
      </c>
      <c r="AC51" t="s">
        <v>1420</v>
      </c>
      <c r="AF51" t="s">
        <v>1437</v>
      </c>
      <c r="AG51" t="s">
        <v>58</v>
      </c>
      <c r="BX51" t="s">
        <v>185</v>
      </c>
    </row>
    <row r="52" spans="1:105" hidden="1">
      <c r="A52" s="32" t="s">
        <v>197</v>
      </c>
      <c r="B52" s="32" t="s">
        <v>83</v>
      </c>
      <c r="C52" s="23">
        <v>1</v>
      </c>
      <c r="D52" s="23">
        <v>3670100</v>
      </c>
      <c r="E52" s="23">
        <v>1</v>
      </c>
      <c r="F52" s="23">
        <v>0.68</v>
      </c>
      <c r="G52" s="23" t="s">
        <v>89</v>
      </c>
      <c r="H52" s="23">
        <v>808</v>
      </c>
      <c r="I52" s="23" t="s">
        <v>85</v>
      </c>
      <c r="J52" s="23">
        <v>842</v>
      </c>
      <c r="K52" s="23" t="s">
        <v>188</v>
      </c>
      <c r="L52" s="23" t="s">
        <v>186</v>
      </c>
      <c r="M52" s="23"/>
      <c r="N52" s="23"/>
      <c r="O52" s="23"/>
      <c r="P52" s="23"/>
      <c r="Q52" s="23"/>
      <c r="R52" s="23"/>
      <c r="S52" s="23" t="s">
        <v>64</v>
      </c>
      <c r="T52" s="23"/>
      <c r="U52" s="23" t="s">
        <v>87</v>
      </c>
      <c r="V52" s="23"/>
      <c r="W52" s="33">
        <v>0</v>
      </c>
      <c r="Y52" t="s">
        <v>161</v>
      </c>
      <c r="Z52" t="s">
        <v>53</v>
      </c>
      <c r="AA52" t="s">
        <v>51</v>
      </c>
      <c r="AB52" t="s">
        <v>72</v>
      </c>
      <c r="AC52" t="s">
        <v>1420</v>
      </c>
      <c r="AF52" t="s">
        <v>1437</v>
      </c>
      <c r="AG52" t="s">
        <v>58</v>
      </c>
      <c r="AI52" t="str">
        <f t="shared" ref="AI52:AI58" si="1">BY52&amp;"_"&amp;CB52&amp;"_"&amp;L52&amp;"_p"&amp;C52&amp;"_"&amp;E52&amp;"st_"&amp;AK52&amp;"_"&amp;RIGHT(AG52,4)&amp;"_"&amp;AL52</f>
        <v>5_S235_SL40034102_p1_1st__2050_</v>
      </c>
      <c r="AM52" t="s">
        <v>1673</v>
      </c>
      <c r="AZ52" s="64" t="s">
        <v>1463</v>
      </c>
      <c r="BA52" s="64" t="s">
        <v>1464</v>
      </c>
      <c r="BX52" t="s">
        <v>1691</v>
      </c>
      <c r="BY52">
        <v>5</v>
      </c>
      <c r="BZ52" t="s">
        <v>1692</v>
      </c>
      <c r="CA52" t="s">
        <v>1693</v>
      </c>
      <c r="CB52" t="s">
        <v>1895</v>
      </c>
      <c r="CG52">
        <v>5</v>
      </c>
      <c r="CH52" t="s">
        <v>1895</v>
      </c>
      <c r="CI52" t="s">
        <v>186</v>
      </c>
      <c r="CJ52" t="s">
        <v>1898</v>
      </c>
      <c r="CK52" t="s">
        <v>1902</v>
      </c>
      <c r="CL52" t="s">
        <v>19</v>
      </c>
      <c r="CM52">
        <v>3902</v>
      </c>
      <c r="CN52" t="s">
        <v>1910</v>
      </c>
      <c r="CO52">
        <v>3</v>
      </c>
      <c r="CR52" t="s">
        <v>1954</v>
      </c>
    </row>
    <row r="53" spans="1:105" hidden="1">
      <c r="A53" s="32" t="s">
        <v>198</v>
      </c>
      <c r="B53" s="32" t="s">
        <v>83</v>
      </c>
      <c r="C53" s="23">
        <v>3</v>
      </c>
      <c r="D53" s="23">
        <v>8700</v>
      </c>
      <c r="E53" s="23">
        <v>1</v>
      </c>
      <c r="F53" s="23">
        <v>5.5E-2</v>
      </c>
      <c r="G53" s="23" t="s">
        <v>89</v>
      </c>
      <c r="H53" s="23">
        <v>85</v>
      </c>
      <c r="I53" s="23" t="s">
        <v>85</v>
      </c>
      <c r="J53" s="23">
        <v>644.5</v>
      </c>
      <c r="K53" s="23" t="s">
        <v>190</v>
      </c>
      <c r="L53" s="23" t="s">
        <v>186</v>
      </c>
      <c r="M53" s="23"/>
      <c r="N53" s="23"/>
      <c r="O53" s="23"/>
      <c r="P53" s="23"/>
      <c r="Q53" s="23"/>
      <c r="R53" s="23"/>
      <c r="S53" s="23" t="s">
        <v>64</v>
      </c>
      <c r="T53" s="23"/>
      <c r="U53" s="23" t="s">
        <v>87</v>
      </c>
      <c r="V53" s="23"/>
      <c r="W53" s="33">
        <v>0</v>
      </c>
      <c r="Y53" t="s">
        <v>161</v>
      </c>
      <c r="Z53" t="s">
        <v>53</v>
      </c>
      <c r="AA53" t="s">
        <v>51</v>
      </c>
      <c r="AB53" t="s">
        <v>72</v>
      </c>
      <c r="AC53" t="s">
        <v>1420</v>
      </c>
      <c r="AF53" t="s">
        <v>1437</v>
      </c>
      <c r="AG53" t="s">
        <v>58</v>
      </c>
      <c r="AI53" t="str">
        <f t="shared" si="1"/>
        <v>12_S235_SL40034102_p3_1st__2050_</v>
      </c>
      <c r="AM53" t="s">
        <v>1673</v>
      </c>
      <c r="AZ53" s="64" t="s">
        <v>1451</v>
      </c>
      <c r="BA53" s="64" t="s">
        <v>1452</v>
      </c>
      <c r="BX53" t="s">
        <v>1691</v>
      </c>
      <c r="BY53">
        <v>12</v>
      </c>
      <c r="BZ53" t="s">
        <v>1692</v>
      </c>
      <c r="CA53" t="s">
        <v>1736</v>
      </c>
      <c r="CB53" t="s">
        <v>1895</v>
      </c>
      <c r="CG53">
        <v>12</v>
      </c>
      <c r="CH53" t="s">
        <v>1895</v>
      </c>
      <c r="CI53" t="s">
        <v>186</v>
      </c>
      <c r="CJ53" t="s">
        <v>1904</v>
      </c>
      <c r="CK53" t="s">
        <v>1902</v>
      </c>
      <c r="CL53" t="s">
        <v>19</v>
      </c>
      <c r="CM53">
        <v>3902</v>
      </c>
      <c r="CN53">
        <v>7</v>
      </c>
      <c r="CR53" t="s">
        <v>1948</v>
      </c>
    </row>
    <row r="54" spans="1:105" hidden="1">
      <c r="A54" s="32" t="s">
        <v>199</v>
      </c>
      <c r="B54" s="32" t="s">
        <v>83</v>
      </c>
      <c r="C54" s="23">
        <v>4</v>
      </c>
      <c r="D54" s="23">
        <v>8700</v>
      </c>
      <c r="E54" s="23">
        <v>1</v>
      </c>
      <c r="F54" s="23">
        <v>0.13100000000000001</v>
      </c>
      <c r="G54" s="23" t="s">
        <v>89</v>
      </c>
      <c r="H54" s="23">
        <v>203</v>
      </c>
      <c r="I54" s="23" t="s">
        <v>85</v>
      </c>
      <c r="J54" s="23">
        <v>644.5</v>
      </c>
      <c r="K54" s="23" t="s">
        <v>190</v>
      </c>
      <c r="L54" s="23" t="s">
        <v>186</v>
      </c>
      <c r="M54" s="23"/>
      <c r="N54" s="23"/>
      <c r="O54" s="23"/>
      <c r="P54" s="23"/>
      <c r="Q54" s="23"/>
      <c r="R54" s="23"/>
      <c r="S54" s="23" t="s">
        <v>64</v>
      </c>
      <c r="T54" s="23"/>
      <c r="U54" s="23" t="s">
        <v>87</v>
      </c>
      <c r="V54" s="23"/>
      <c r="W54" s="33">
        <v>0</v>
      </c>
      <c r="Y54" t="s">
        <v>161</v>
      </c>
      <c r="Z54" t="s">
        <v>53</v>
      </c>
      <c r="AA54" t="s">
        <v>51</v>
      </c>
      <c r="AB54" t="s">
        <v>72</v>
      </c>
      <c r="AC54" t="s">
        <v>1420</v>
      </c>
      <c r="AF54" t="s">
        <v>1437</v>
      </c>
      <c r="AG54" t="s">
        <v>58</v>
      </c>
      <c r="AI54" t="str">
        <f t="shared" si="1"/>
        <v>12_S235_SL40034102_p4_1st__2050_</v>
      </c>
      <c r="AM54" t="s">
        <v>1673</v>
      </c>
      <c r="AZ54" s="64" t="s">
        <v>1465</v>
      </c>
      <c r="BA54" s="64" t="s">
        <v>1466</v>
      </c>
      <c r="BX54" t="s">
        <v>1691</v>
      </c>
      <c r="BY54">
        <v>12</v>
      </c>
      <c r="BZ54" t="s">
        <v>1692</v>
      </c>
      <c r="CA54" t="s">
        <v>1736</v>
      </c>
      <c r="CB54" t="s">
        <v>1895</v>
      </c>
      <c r="CG54">
        <v>12</v>
      </c>
      <c r="CH54" t="s">
        <v>1895</v>
      </c>
      <c r="CI54" t="s">
        <v>186</v>
      </c>
      <c r="CJ54" t="s">
        <v>1911</v>
      </c>
      <c r="CK54" t="s">
        <v>1902</v>
      </c>
      <c r="CL54" t="s">
        <v>1903</v>
      </c>
      <c r="CM54">
        <v>3902</v>
      </c>
      <c r="CN54" t="s">
        <v>1910</v>
      </c>
      <c r="CO54">
        <v>2</v>
      </c>
      <c r="CR54" t="s">
        <v>1955</v>
      </c>
    </row>
    <row r="55" spans="1:105" hidden="1">
      <c r="A55" s="32" t="s">
        <v>200</v>
      </c>
      <c r="B55" s="32" t="s">
        <v>83</v>
      </c>
      <c r="C55" s="23">
        <v>6</v>
      </c>
      <c r="D55" s="23">
        <v>8700</v>
      </c>
      <c r="E55" s="23">
        <v>1</v>
      </c>
      <c r="F55" s="23">
        <v>4.4999999999999998E-2</v>
      </c>
      <c r="G55" s="23" t="s">
        <v>89</v>
      </c>
      <c r="H55" s="23">
        <v>143</v>
      </c>
      <c r="I55" s="23" t="s">
        <v>85</v>
      </c>
      <c r="J55" s="23">
        <v>316.5</v>
      </c>
      <c r="K55" s="23" t="s">
        <v>190</v>
      </c>
      <c r="L55" s="23" t="s">
        <v>186</v>
      </c>
      <c r="M55" s="23"/>
      <c r="N55" s="23"/>
      <c r="O55" s="23"/>
      <c r="P55" s="23"/>
      <c r="Q55" s="23"/>
      <c r="R55" s="23"/>
      <c r="S55" s="23" t="s">
        <v>64</v>
      </c>
      <c r="T55" s="23"/>
      <c r="U55" s="23" t="s">
        <v>87</v>
      </c>
      <c r="V55" s="23"/>
      <c r="W55" s="33">
        <v>0</v>
      </c>
      <c r="Y55" t="s">
        <v>161</v>
      </c>
      <c r="Z55" t="s">
        <v>53</v>
      </c>
      <c r="AA55" t="s">
        <v>51</v>
      </c>
      <c r="AB55" t="s">
        <v>72</v>
      </c>
      <c r="AC55" t="s">
        <v>1420</v>
      </c>
      <c r="AF55" t="s">
        <v>1437</v>
      </c>
      <c r="AG55" t="s">
        <v>58</v>
      </c>
      <c r="AI55" t="str">
        <f t="shared" si="1"/>
        <v>12_S235_SL40034102_p6_1st__2050_</v>
      </c>
      <c r="AM55" t="s">
        <v>1673</v>
      </c>
      <c r="AZ55" s="64" t="s">
        <v>1467</v>
      </c>
      <c r="BA55" s="64" t="s">
        <v>1468</v>
      </c>
      <c r="BX55" t="s">
        <v>1691</v>
      </c>
      <c r="BY55">
        <v>12</v>
      </c>
      <c r="BZ55" t="s">
        <v>1692</v>
      </c>
      <c r="CA55" t="s">
        <v>1736</v>
      </c>
      <c r="CB55" t="s">
        <v>1895</v>
      </c>
      <c r="CG55">
        <v>12</v>
      </c>
      <c r="CH55" t="s">
        <v>1895</v>
      </c>
      <c r="CI55" t="s">
        <v>186</v>
      </c>
      <c r="CJ55" t="s">
        <v>1912</v>
      </c>
      <c r="CK55" t="s">
        <v>1902</v>
      </c>
      <c r="CL55" t="s">
        <v>1903</v>
      </c>
      <c r="CM55">
        <v>3902</v>
      </c>
      <c r="CN55" t="s">
        <v>1910</v>
      </c>
      <c r="CO55">
        <v>3</v>
      </c>
      <c r="CR55" t="s">
        <v>1956</v>
      </c>
    </row>
    <row r="56" spans="1:105" hidden="1">
      <c r="A56" s="32" t="s">
        <v>201</v>
      </c>
      <c r="B56" s="32" t="s">
        <v>83</v>
      </c>
      <c r="C56" s="23">
        <v>8</v>
      </c>
      <c r="D56" s="23">
        <v>3670100</v>
      </c>
      <c r="E56" s="23">
        <v>1</v>
      </c>
      <c r="F56" s="23">
        <v>2.8000000000000001E-2</v>
      </c>
      <c r="G56" s="23" t="s">
        <v>89</v>
      </c>
      <c r="H56" s="23">
        <v>331</v>
      </c>
      <c r="I56" s="23" t="s">
        <v>85</v>
      </c>
      <c r="J56" s="23">
        <v>84</v>
      </c>
      <c r="K56" s="23" t="s">
        <v>188</v>
      </c>
      <c r="L56" s="23" t="s">
        <v>186</v>
      </c>
      <c r="M56" s="23"/>
      <c r="N56" s="23"/>
      <c r="O56" s="23"/>
      <c r="P56" s="23"/>
      <c r="Q56" s="23"/>
      <c r="R56" s="23"/>
      <c r="S56" s="23" t="s">
        <v>64</v>
      </c>
      <c r="T56" s="23"/>
      <c r="U56" s="23" t="s">
        <v>87</v>
      </c>
      <c r="V56" s="23"/>
      <c r="W56" s="33">
        <v>0</v>
      </c>
      <c r="Y56" t="s">
        <v>161</v>
      </c>
      <c r="Z56" t="s">
        <v>53</v>
      </c>
      <c r="AA56" t="s">
        <v>51</v>
      </c>
      <c r="AB56" t="s">
        <v>72</v>
      </c>
      <c r="AC56" t="s">
        <v>1420</v>
      </c>
      <c r="AF56" t="s">
        <v>1437</v>
      </c>
      <c r="AG56" t="s">
        <v>58</v>
      </c>
      <c r="AI56" t="str">
        <f t="shared" si="1"/>
        <v>5_S235_SL40034102_p8_1st__2050_</v>
      </c>
      <c r="AM56" t="s">
        <v>1673</v>
      </c>
      <c r="AZ56" s="64" t="s">
        <v>1469</v>
      </c>
      <c r="BA56" s="64" t="s">
        <v>1470</v>
      </c>
      <c r="BX56" t="s">
        <v>1691</v>
      </c>
      <c r="BY56">
        <v>5</v>
      </c>
      <c r="BZ56" t="s">
        <v>1692</v>
      </c>
      <c r="CA56" t="s">
        <v>1693</v>
      </c>
      <c r="CB56" t="s">
        <v>1895</v>
      </c>
      <c r="CG56">
        <v>5</v>
      </c>
      <c r="CH56" t="s">
        <v>1895</v>
      </c>
      <c r="CI56" t="s">
        <v>186</v>
      </c>
      <c r="CJ56" t="s">
        <v>1913</v>
      </c>
      <c r="CK56" t="s">
        <v>1902</v>
      </c>
      <c r="CL56" t="s">
        <v>1903</v>
      </c>
      <c r="CM56">
        <v>3902</v>
      </c>
      <c r="CN56" t="s">
        <v>1910</v>
      </c>
      <c r="CO56">
        <v>3</v>
      </c>
      <c r="CR56" t="s">
        <v>1957</v>
      </c>
    </row>
    <row r="57" spans="1:105" hidden="1">
      <c r="A57" s="32" t="s">
        <v>202</v>
      </c>
      <c r="B57" s="32" t="s">
        <v>83</v>
      </c>
      <c r="C57" s="23">
        <v>10</v>
      </c>
      <c r="D57" s="23">
        <v>8700</v>
      </c>
      <c r="E57" s="23">
        <v>1</v>
      </c>
      <c r="F57" s="23">
        <v>3.9E-2</v>
      </c>
      <c r="G57" s="23" t="s">
        <v>89</v>
      </c>
      <c r="H57" s="23">
        <v>125</v>
      </c>
      <c r="I57" s="23" t="s">
        <v>85</v>
      </c>
      <c r="J57" s="23">
        <v>316.5</v>
      </c>
      <c r="K57" s="23" t="s">
        <v>190</v>
      </c>
      <c r="L57" s="23" t="s">
        <v>186</v>
      </c>
      <c r="M57" s="23"/>
      <c r="N57" s="23"/>
      <c r="O57" s="23"/>
      <c r="P57" s="23"/>
      <c r="Q57" s="23"/>
      <c r="R57" s="23"/>
      <c r="S57" s="23" t="s">
        <v>64</v>
      </c>
      <c r="T57" s="23"/>
      <c r="U57" s="23" t="s">
        <v>87</v>
      </c>
      <c r="V57" s="23"/>
      <c r="W57" s="33">
        <v>0</v>
      </c>
      <c r="Y57" t="s">
        <v>161</v>
      </c>
      <c r="Z57" t="s">
        <v>53</v>
      </c>
      <c r="AA57" t="s">
        <v>51</v>
      </c>
      <c r="AB57" t="s">
        <v>72</v>
      </c>
      <c r="AC57" t="s">
        <v>1420</v>
      </c>
      <c r="AF57" t="s">
        <v>1437</v>
      </c>
      <c r="AG57" t="s">
        <v>58</v>
      </c>
      <c r="AI57" t="str">
        <f t="shared" si="1"/>
        <v>12_S235_SL40034102_p10_1st__2050_</v>
      </c>
      <c r="AM57" t="s">
        <v>1673</v>
      </c>
      <c r="AZ57" s="64" t="s">
        <v>1459</v>
      </c>
      <c r="BA57" s="64" t="s">
        <v>1460</v>
      </c>
      <c r="BX57" t="s">
        <v>1691</v>
      </c>
      <c r="BY57">
        <v>12</v>
      </c>
      <c r="BZ57" t="s">
        <v>1692</v>
      </c>
      <c r="CA57" t="s">
        <v>1736</v>
      </c>
      <c r="CB57" t="s">
        <v>1895</v>
      </c>
      <c r="CG57">
        <v>12</v>
      </c>
      <c r="CH57" t="s">
        <v>1895</v>
      </c>
      <c r="CI57" t="s">
        <v>186</v>
      </c>
      <c r="CJ57" t="s">
        <v>1908</v>
      </c>
      <c r="CK57" t="s">
        <v>1902</v>
      </c>
      <c r="CL57" t="s">
        <v>19</v>
      </c>
      <c r="CM57">
        <v>3902</v>
      </c>
      <c r="CN57">
        <v>7</v>
      </c>
      <c r="CR57" t="s">
        <v>1952</v>
      </c>
    </row>
    <row r="58" spans="1:105" hidden="1">
      <c r="A58" s="32" t="s">
        <v>203</v>
      </c>
      <c r="B58" s="32" t="s">
        <v>83</v>
      </c>
      <c r="C58" s="23">
        <v>11</v>
      </c>
      <c r="D58" s="23">
        <v>8700</v>
      </c>
      <c r="E58" s="23">
        <v>1</v>
      </c>
      <c r="F58" s="23">
        <v>6.9000000000000006E-2</v>
      </c>
      <c r="G58" s="23" t="s">
        <v>89</v>
      </c>
      <c r="H58" s="23">
        <v>494</v>
      </c>
      <c r="I58" s="23" t="s">
        <v>85</v>
      </c>
      <c r="J58" s="23">
        <v>140</v>
      </c>
      <c r="K58" s="23" t="s">
        <v>190</v>
      </c>
      <c r="L58" s="23" t="s">
        <v>186</v>
      </c>
      <c r="M58" s="23"/>
      <c r="N58" s="23"/>
      <c r="O58" s="23"/>
      <c r="P58" s="23"/>
      <c r="Q58" s="23"/>
      <c r="R58" s="23"/>
      <c r="S58" s="23" t="s">
        <v>64</v>
      </c>
      <c r="T58" s="23"/>
      <c r="U58" s="23" t="s">
        <v>87</v>
      </c>
      <c r="V58" s="23"/>
      <c r="W58" s="33">
        <v>0</v>
      </c>
      <c r="Y58" t="s">
        <v>161</v>
      </c>
      <c r="Z58" t="s">
        <v>53</v>
      </c>
      <c r="AA58" t="s">
        <v>51</v>
      </c>
      <c r="AB58" t="s">
        <v>72</v>
      </c>
      <c r="AC58" t="s">
        <v>1420</v>
      </c>
      <c r="AF58" t="s">
        <v>1437</v>
      </c>
      <c r="AG58" t="s">
        <v>58</v>
      </c>
      <c r="AI58" t="str">
        <f t="shared" si="1"/>
        <v>12_S235_SL40034102_p11_1st__2050_</v>
      </c>
      <c r="AM58" t="s">
        <v>1673</v>
      </c>
      <c r="AZ58" s="64" t="s">
        <v>1461</v>
      </c>
      <c r="BA58" s="64" t="s">
        <v>1462</v>
      </c>
      <c r="BX58" t="s">
        <v>1691</v>
      </c>
      <c r="BY58">
        <v>12</v>
      </c>
      <c r="BZ58" t="s">
        <v>1692</v>
      </c>
      <c r="CA58" t="s">
        <v>1736</v>
      </c>
      <c r="CB58" t="s">
        <v>1895</v>
      </c>
      <c r="CG58">
        <v>12</v>
      </c>
      <c r="CH58" t="s">
        <v>1895</v>
      </c>
      <c r="CI58" t="s">
        <v>186</v>
      </c>
      <c r="CJ58" t="s">
        <v>1909</v>
      </c>
      <c r="CK58" t="s">
        <v>1902</v>
      </c>
      <c r="CL58" t="s">
        <v>19</v>
      </c>
      <c r="CM58">
        <v>3902</v>
      </c>
      <c r="CN58">
        <v>7</v>
      </c>
      <c r="CR58" t="s">
        <v>1953</v>
      </c>
    </row>
    <row r="59" spans="1:105" hidden="1">
      <c r="A59" s="29" t="s">
        <v>204</v>
      </c>
      <c r="B59" s="29" t="s">
        <v>79</v>
      </c>
      <c r="C59" s="30">
        <v>3</v>
      </c>
      <c r="D59" s="30" t="s">
        <v>205</v>
      </c>
      <c r="E59" s="30">
        <v>1</v>
      </c>
      <c r="F59" s="30"/>
      <c r="G59" s="30" t="s">
        <v>52</v>
      </c>
      <c r="H59" s="30"/>
      <c r="I59" s="30"/>
      <c r="J59" s="30"/>
      <c r="K59" s="30" t="s">
        <v>206</v>
      </c>
      <c r="L59" s="30" t="s">
        <v>207</v>
      </c>
      <c r="M59" s="30">
        <v>3</v>
      </c>
      <c r="N59" s="30">
        <v>0</v>
      </c>
      <c r="O59" s="23"/>
      <c r="P59" s="23"/>
      <c r="Q59" s="23"/>
      <c r="R59" s="23"/>
      <c r="S59" s="23" t="s">
        <v>64</v>
      </c>
      <c r="T59" s="23"/>
      <c r="U59" s="23" t="s">
        <v>54</v>
      </c>
      <c r="V59" s="23"/>
      <c r="W59" s="31">
        <v>4.798</v>
      </c>
      <c r="Y59" t="s">
        <v>40</v>
      </c>
      <c r="Z59" t="s">
        <v>53</v>
      </c>
      <c r="AA59" t="s">
        <v>51</v>
      </c>
      <c r="AB59" t="s">
        <v>72</v>
      </c>
      <c r="AF59" t="s">
        <v>1437</v>
      </c>
      <c r="AG59" t="s">
        <v>58</v>
      </c>
      <c r="BX59" t="s">
        <v>206</v>
      </c>
    </row>
    <row r="60" spans="1:105">
      <c r="A60" s="32" t="s">
        <v>208</v>
      </c>
      <c r="B60" s="32" t="s">
        <v>83</v>
      </c>
      <c r="C60" s="23">
        <v>2</v>
      </c>
      <c r="D60" s="23">
        <v>155000</v>
      </c>
      <c r="E60" s="23">
        <v>1</v>
      </c>
      <c r="F60" s="23">
        <v>0.23100000000000001</v>
      </c>
      <c r="G60" s="23" t="s">
        <v>89</v>
      </c>
      <c r="H60" s="23">
        <v>603</v>
      </c>
      <c r="I60" s="23" t="s">
        <v>85</v>
      </c>
      <c r="J60" s="23">
        <v>382</v>
      </c>
      <c r="K60" s="23" t="s">
        <v>209</v>
      </c>
      <c r="L60" s="23" t="s">
        <v>207</v>
      </c>
      <c r="M60" s="23"/>
      <c r="N60" s="23"/>
      <c r="O60" s="23"/>
      <c r="P60" s="23"/>
      <c r="Q60" s="23"/>
      <c r="R60" s="23"/>
      <c r="S60" s="23" t="s">
        <v>64</v>
      </c>
      <c r="T60" s="23"/>
      <c r="U60" s="23" t="s">
        <v>87</v>
      </c>
      <c r="V60" s="23"/>
      <c r="W60" s="33">
        <v>0</v>
      </c>
      <c r="Y60" t="s">
        <v>161</v>
      </c>
      <c r="Z60" t="s">
        <v>53</v>
      </c>
      <c r="AA60" t="s">
        <v>51</v>
      </c>
      <c r="AB60" t="s">
        <v>72</v>
      </c>
      <c r="AC60" t="s">
        <v>1428</v>
      </c>
      <c r="AF60" t="s">
        <v>1437</v>
      </c>
      <c r="AG60" t="s">
        <v>58</v>
      </c>
      <c r="AI60" t="str">
        <f>BY60&amp;"_"&amp;CB60&amp;"_"&amp;L60&amp;"_p"&amp;C60&amp;"_"&amp;E60&amp;"st_"&amp;AK60&amp;"_"&amp;RIGHT(AG60,4)&amp;"_"&amp;AL60</f>
        <v>3_S235_SL40034104_p2_1st_GS_2050_L</v>
      </c>
      <c r="AJ60" t="s">
        <v>1429</v>
      </c>
      <c r="AK60" t="str">
        <f>CT60</f>
        <v>GS</v>
      </c>
      <c r="AL60" t="str">
        <f>CU60</f>
        <v>L</v>
      </c>
      <c r="AM60" t="s">
        <v>1674</v>
      </c>
      <c r="AZ60" s="64" t="s">
        <v>1471</v>
      </c>
      <c r="BA60" s="64" t="s">
        <v>1472</v>
      </c>
      <c r="BX60" t="s">
        <v>1691</v>
      </c>
      <c r="BY60">
        <v>3</v>
      </c>
      <c r="BZ60" t="s">
        <v>1692</v>
      </c>
      <c r="CA60" t="s">
        <v>1736</v>
      </c>
      <c r="CB60" t="s">
        <v>1895</v>
      </c>
      <c r="CG60">
        <v>3</v>
      </c>
      <c r="CH60" t="s">
        <v>1895</v>
      </c>
      <c r="CI60" t="s">
        <v>207</v>
      </c>
      <c r="CJ60" t="s">
        <v>1901</v>
      </c>
      <c r="CK60" t="s">
        <v>1902</v>
      </c>
      <c r="CL60" t="s">
        <v>1903</v>
      </c>
      <c r="CM60">
        <v>3902</v>
      </c>
      <c r="CN60" t="s">
        <v>54</v>
      </c>
      <c r="CO60">
        <v>3</v>
      </c>
      <c r="CR60" t="s">
        <v>1958</v>
      </c>
      <c r="CS60" t="s">
        <v>1429</v>
      </c>
      <c r="CT60" t="s">
        <v>1903</v>
      </c>
      <c r="CU60" t="s">
        <v>54</v>
      </c>
      <c r="CW60" t="b">
        <f>AI60=CR60</f>
        <v>1</v>
      </c>
      <c r="CX60" t="b">
        <f t="shared" ref="CX60:DA60" si="2">AJ60=CS60</f>
        <v>1</v>
      </c>
      <c r="CY60" t="b">
        <f t="shared" si="2"/>
        <v>1</v>
      </c>
      <c r="CZ60" t="b">
        <f t="shared" si="2"/>
        <v>1</v>
      </c>
      <c r="DA60" t="b">
        <f t="shared" si="2"/>
        <v>0</v>
      </c>
    </row>
    <row r="61" spans="1:105" hidden="1">
      <c r="A61" s="29" t="s">
        <v>210</v>
      </c>
      <c r="B61" s="29" t="s">
        <v>79</v>
      </c>
      <c r="C61" s="30">
        <v>4</v>
      </c>
      <c r="D61" s="30" t="s">
        <v>207</v>
      </c>
      <c r="E61" s="30">
        <v>1</v>
      </c>
      <c r="F61" s="30"/>
      <c r="G61" s="30" t="s">
        <v>52</v>
      </c>
      <c r="H61" s="30"/>
      <c r="I61" s="30"/>
      <c r="J61" s="30"/>
      <c r="K61" s="30" t="s">
        <v>206</v>
      </c>
      <c r="L61" s="30" t="s">
        <v>207</v>
      </c>
      <c r="M61" s="30">
        <v>3</v>
      </c>
      <c r="N61" s="30">
        <v>0</v>
      </c>
      <c r="O61" s="23"/>
      <c r="P61" s="23"/>
      <c r="Q61" s="23"/>
      <c r="R61" s="23"/>
      <c r="S61" s="23" t="s">
        <v>64</v>
      </c>
      <c r="T61" s="23"/>
      <c r="U61" s="23" t="s">
        <v>54</v>
      </c>
      <c r="V61" s="23"/>
      <c r="W61" s="31">
        <v>4.798</v>
      </c>
      <c r="Y61" t="s">
        <v>40</v>
      </c>
      <c r="Z61" t="s">
        <v>53</v>
      </c>
      <c r="AA61" t="s">
        <v>51</v>
      </c>
      <c r="AB61" t="s">
        <v>72</v>
      </c>
      <c r="AC61" t="s">
        <v>1420</v>
      </c>
      <c r="AF61" t="s">
        <v>1437</v>
      </c>
      <c r="AG61" t="s">
        <v>58</v>
      </c>
      <c r="BX61" t="s">
        <v>206</v>
      </c>
    </row>
    <row r="62" spans="1:105" hidden="1">
      <c r="A62" s="32" t="s">
        <v>211</v>
      </c>
      <c r="B62" s="32" t="s">
        <v>83</v>
      </c>
      <c r="C62" s="23">
        <v>1</v>
      </c>
      <c r="D62" s="23">
        <v>155000</v>
      </c>
      <c r="E62" s="23">
        <v>1</v>
      </c>
      <c r="F62" s="23">
        <v>0.23100000000000001</v>
      </c>
      <c r="G62" s="23" t="s">
        <v>89</v>
      </c>
      <c r="H62" s="23">
        <v>603</v>
      </c>
      <c r="I62" s="23" t="s">
        <v>85</v>
      </c>
      <c r="J62" s="23">
        <v>382</v>
      </c>
      <c r="K62" s="23" t="s">
        <v>209</v>
      </c>
      <c r="L62" s="23" t="s">
        <v>207</v>
      </c>
      <c r="M62" s="23"/>
      <c r="N62" s="23"/>
      <c r="O62" s="23"/>
      <c r="P62" s="23"/>
      <c r="Q62" s="23"/>
      <c r="R62" s="23"/>
      <c r="S62" s="23" t="s">
        <v>64</v>
      </c>
      <c r="T62" s="23"/>
      <c r="U62" s="23" t="s">
        <v>87</v>
      </c>
      <c r="V62" s="23"/>
      <c r="W62" s="33">
        <v>0</v>
      </c>
      <c r="Y62" t="s">
        <v>161</v>
      </c>
      <c r="Z62" t="s">
        <v>53</v>
      </c>
      <c r="AA62" t="s">
        <v>51</v>
      </c>
      <c r="AB62" t="s">
        <v>72</v>
      </c>
      <c r="AC62" t="s">
        <v>1420</v>
      </c>
      <c r="AF62" t="s">
        <v>1437</v>
      </c>
      <c r="AG62" t="s">
        <v>58</v>
      </c>
      <c r="AI62" t="str">
        <f>BY62&amp;"_"&amp;CB62&amp;"_"&amp;L62&amp;"_p"&amp;C62&amp;"_"&amp;E62&amp;"st_"&amp;AK62&amp;"_"&amp;RIGHT(AG62,4)&amp;"_"&amp;AL62</f>
        <v>3_S235_SL40034104_p1_1st__2050_</v>
      </c>
      <c r="AM62" t="s">
        <v>1673</v>
      </c>
      <c r="AZ62" s="64" t="s">
        <v>1473</v>
      </c>
      <c r="BA62" s="64" t="s">
        <v>1474</v>
      </c>
      <c r="BX62" t="s">
        <v>1691</v>
      </c>
      <c r="BY62">
        <v>3</v>
      </c>
      <c r="BZ62" t="s">
        <v>1692</v>
      </c>
      <c r="CA62" t="s">
        <v>1736</v>
      </c>
      <c r="CB62" t="s">
        <v>1895</v>
      </c>
      <c r="CG62">
        <v>3</v>
      </c>
      <c r="CH62" t="s">
        <v>1895</v>
      </c>
      <c r="CI62" t="s">
        <v>207</v>
      </c>
      <c r="CJ62" t="s">
        <v>1898</v>
      </c>
      <c r="CK62" t="s">
        <v>1902</v>
      </c>
      <c r="CL62" t="s">
        <v>1903</v>
      </c>
      <c r="CM62">
        <v>3902</v>
      </c>
      <c r="CN62" t="s">
        <v>1910</v>
      </c>
      <c r="CO62">
        <v>2</v>
      </c>
      <c r="CR62" t="s">
        <v>1959</v>
      </c>
    </row>
    <row r="63" spans="1:105" hidden="1">
      <c r="A63" s="29" t="s">
        <v>212</v>
      </c>
      <c r="B63" s="29" t="s">
        <v>79</v>
      </c>
      <c r="C63" s="30">
        <v>5</v>
      </c>
      <c r="D63" s="30" t="s">
        <v>213</v>
      </c>
      <c r="E63" s="30">
        <v>1</v>
      </c>
      <c r="F63" s="30"/>
      <c r="G63" s="30" t="s">
        <v>52</v>
      </c>
      <c r="H63" s="30"/>
      <c r="I63" s="30"/>
      <c r="J63" s="30"/>
      <c r="K63" s="30" t="s">
        <v>214</v>
      </c>
      <c r="L63" s="30" t="s">
        <v>213</v>
      </c>
      <c r="M63" s="30">
        <v>3</v>
      </c>
      <c r="N63" s="30">
        <v>0</v>
      </c>
      <c r="O63" s="23"/>
      <c r="P63" s="23"/>
      <c r="Q63" s="23"/>
      <c r="R63" s="23"/>
      <c r="S63" s="23" t="s">
        <v>64</v>
      </c>
      <c r="T63" s="23"/>
      <c r="U63" s="23" t="s">
        <v>54</v>
      </c>
      <c r="V63" s="23"/>
      <c r="W63" s="31">
        <v>5.944</v>
      </c>
      <c r="Y63" t="s">
        <v>40</v>
      </c>
      <c r="Z63" t="s">
        <v>53</v>
      </c>
      <c r="AA63" t="s">
        <v>51</v>
      </c>
      <c r="AB63" t="s">
        <v>72</v>
      </c>
      <c r="AF63" t="s">
        <v>1437</v>
      </c>
      <c r="AG63" t="s">
        <v>58</v>
      </c>
      <c r="BX63" t="s">
        <v>214</v>
      </c>
    </row>
    <row r="64" spans="1:105" hidden="1">
      <c r="A64" s="29" t="s">
        <v>215</v>
      </c>
      <c r="B64" s="29" t="s">
        <v>83</v>
      </c>
      <c r="C64" s="30">
        <v>1</v>
      </c>
      <c r="D64" s="30" t="s">
        <v>216</v>
      </c>
      <c r="E64" s="30">
        <v>1</v>
      </c>
      <c r="F64" s="30"/>
      <c r="G64" s="30" t="s">
        <v>52</v>
      </c>
      <c r="H64" s="30"/>
      <c r="I64" s="30"/>
      <c r="J64" s="30"/>
      <c r="K64" s="30" t="s">
        <v>217</v>
      </c>
      <c r="L64" s="30" t="s">
        <v>218</v>
      </c>
      <c r="M64" s="30">
        <v>3</v>
      </c>
      <c r="N64" s="30">
        <v>0</v>
      </c>
      <c r="O64" s="23"/>
      <c r="P64" s="23"/>
      <c r="Q64" s="23"/>
      <c r="R64" s="23"/>
      <c r="S64" s="23" t="s">
        <v>64</v>
      </c>
      <c r="T64" s="23"/>
      <c r="U64" s="23" t="s">
        <v>54</v>
      </c>
      <c r="V64" s="23"/>
      <c r="W64" s="31">
        <v>2.89</v>
      </c>
      <c r="Y64" t="s">
        <v>40</v>
      </c>
      <c r="Z64" t="s">
        <v>53</v>
      </c>
      <c r="AA64" t="s">
        <v>51</v>
      </c>
      <c r="AB64" t="s">
        <v>72</v>
      </c>
      <c r="AF64" t="s">
        <v>1437</v>
      </c>
      <c r="AG64" t="s">
        <v>58</v>
      </c>
      <c r="BX64" t="s">
        <v>217</v>
      </c>
    </row>
    <row r="65" spans="1:104">
      <c r="A65" s="32" t="s">
        <v>219</v>
      </c>
      <c r="B65" s="32" t="s">
        <v>220</v>
      </c>
      <c r="C65" s="23">
        <v>2</v>
      </c>
      <c r="D65" s="23">
        <v>155000</v>
      </c>
      <c r="E65" s="23">
        <v>1</v>
      </c>
      <c r="F65" s="23">
        <v>0.13</v>
      </c>
      <c r="G65" s="23" t="s">
        <v>89</v>
      </c>
      <c r="H65" s="23">
        <v>441</v>
      </c>
      <c r="I65" s="23" t="s">
        <v>85</v>
      </c>
      <c r="J65" s="23">
        <v>294</v>
      </c>
      <c r="K65" s="23" t="s">
        <v>209</v>
      </c>
      <c r="L65" s="23" t="s">
        <v>218</v>
      </c>
      <c r="M65" s="23"/>
      <c r="N65" s="23"/>
      <c r="O65" s="23"/>
      <c r="P65" s="23"/>
      <c r="Q65" s="23"/>
      <c r="R65" s="23"/>
      <c r="S65" s="23" t="s">
        <v>64</v>
      </c>
      <c r="T65" s="23"/>
      <c r="U65" s="23" t="s">
        <v>87</v>
      </c>
      <c r="V65" s="23"/>
      <c r="W65" s="33">
        <v>0</v>
      </c>
      <c r="Y65" t="s">
        <v>161</v>
      </c>
      <c r="Z65" t="s">
        <v>53</v>
      </c>
      <c r="AA65" t="s">
        <v>51</v>
      </c>
      <c r="AB65" t="s">
        <v>72</v>
      </c>
      <c r="AF65" t="s">
        <v>1437</v>
      </c>
      <c r="AG65" t="s">
        <v>58</v>
      </c>
      <c r="AI65" t="str">
        <f t="shared" ref="AI65:AI66" si="3">BY65&amp;"_"&amp;CB65&amp;"_"&amp;L65&amp;"_p"&amp;C65&amp;"_"&amp;E65&amp;"st_"&amp;AK65&amp;"_"&amp;RIGHT(AG65,4)&amp;"_"&amp;AL65</f>
        <v>3_S235_SL40036103_p2_1st_GS_2050_L</v>
      </c>
      <c r="AJ65" t="s">
        <v>1429</v>
      </c>
      <c r="AK65" t="str">
        <f>CT65</f>
        <v>GS</v>
      </c>
      <c r="AL65" t="str">
        <f>CU65</f>
        <v>L</v>
      </c>
      <c r="AM65" t="s">
        <v>1674</v>
      </c>
      <c r="AZ65" s="64" t="s">
        <v>1475</v>
      </c>
      <c r="BA65" s="64" t="s">
        <v>1476</v>
      </c>
      <c r="BX65" t="s">
        <v>1691</v>
      </c>
      <c r="BY65">
        <v>3</v>
      </c>
      <c r="BZ65" t="s">
        <v>1692</v>
      </c>
      <c r="CA65" t="s">
        <v>1736</v>
      </c>
      <c r="CB65" t="s">
        <v>1895</v>
      </c>
      <c r="CG65">
        <v>3</v>
      </c>
      <c r="CH65" t="s">
        <v>1895</v>
      </c>
      <c r="CI65" t="s">
        <v>218</v>
      </c>
      <c r="CJ65" t="s">
        <v>1901</v>
      </c>
      <c r="CK65" t="s">
        <v>1902</v>
      </c>
      <c r="CL65" t="s">
        <v>1903</v>
      </c>
      <c r="CM65">
        <v>3902</v>
      </c>
      <c r="CN65" t="s">
        <v>54</v>
      </c>
      <c r="CO65">
        <v>1</v>
      </c>
      <c r="CR65" t="s">
        <v>1960</v>
      </c>
      <c r="CS65" t="s">
        <v>1429</v>
      </c>
      <c r="CT65" t="s">
        <v>1903</v>
      </c>
      <c r="CU65" t="s">
        <v>54</v>
      </c>
      <c r="CW65" t="b">
        <f>AI65=CR65</f>
        <v>1</v>
      </c>
      <c r="CX65" t="b">
        <f t="shared" ref="CX65" si="4">AJ65=CS65</f>
        <v>1</v>
      </c>
      <c r="CY65" t="b">
        <f t="shared" ref="CY65" si="5">AK65=CT65</f>
        <v>1</v>
      </c>
      <c r="CZ65" t="b">
        <f t="shared" ref="CZ65" si="6">AL65=CU65</f>
        <v>1</v>
      </c>
    </row>
    <row r="66" spans="1:104" s="79" customFormat="1">
      <c r="A66" s="80" t="s">
        <v>221</v>
      </c>
      <c r="B66" s="80" t="s">
        <v>220</v>
      </c>
      <c r="C66" s="81">
        <v>3</v>
      </c>
      <c r="D66" s="81">
        <v>155000</v>
      </c>
      <c r="E66" s="81">
        <v>1</v>
      </c>
      <c r="F66" s="81">
        <v>1.7000000000000001E-2</v>
      </c>
      <c r="G66" s="81" t="s">
        <v>89</v>
      </c>
      <c r="H66" s="81">
        <v>206</v>
      </c>
      <c r="I66" s="81" t="s">
        <v>85</v>
      </c>
      <c r="J66" s="81">
        <v>85</v>
      </c>
      <c r="K66" s="81" t="s">
        <v>209</v>
      </c>
      <c r="L66" s="81" t="s">
        <v>218</v>
      </c>
      <c r="M66" s="81"/>
      <c r="N66" s="81"/>
      <c r="O66" s="23"/>
      <c r="P66" s="23"/>
      <c r="Q66" s="23"/>
      <c r="R66" s="23"/>
      <c r="S66" s="23" t="s">
        <v>64</v>
      </c>
      <c r="T66" s="23"/>
      <c r="U66" s="23" t="s">
        <v>87</v>
      </c>
      <c r="V66" s="23"/>
      <c r="W66" s="82">
        <v>0</v>
      </c>
      <c r="Y66" s="79" t="s">
        <v>161</v>
      </c>
      <c r="Z66" s="79" t="s">
        <v>53</v>
      </c>
      <c r="AA66" s="79" t="s">
        <v>51</v>
      </c>
      <c r="AB66" s="79" t="s">
        <v>72</v>
      </c>
      <c r="AF66" s="79" t="s">
        <v>1437</v>
      </c>
      <c r="AG66" s="79" t="s">
        <v>58</v>
      </c>
      <c r="AI66" s="79" t="str">
        <f t="shared" si="3"/>
        <v>3_S235_SL40036103_p3_1st_S_2050_</v>
      </c>
      <c r="AK66" s="79" t="s">
        <v>19</v>
      </c>
      <c r="AM66" s="79" t="s">
        <v>1675</v>
      </c>
      <c r="AO66"/>
      <c r="AP66"/>
      <c r="AQ66"/>
      <c r="AR66"/>
      <c r="AS66"/>
      <c r="AT66"/>
      <c r="AU66"/>
      <c r="AV66"/>
      <c r="AW66"/>
      <c r="AX66"/>
      <c r="AY66"/>
      <c r="AZ66" s="83" t="s">
        <v>1477</v>
      </c>
      <c r="BA66" s="83" t="s">
        <v>1478</v>
      </c>
      <c r="BX66" s="79" t="s">
        <v>1691</v>
      </c>
      <c r="BY66" s="79">
        <v>3</v>
      </c>
      <c r="BZ66" s="79" t="s">
        <v>1692</v>
      </c>
      <c r="CA66" s="79" t="s">
        <v>1736</v>
      </c>
      <c r="CB66" s="79" t="s">
        <v>1895</v>
      </c>
      <c r="CG66" s="79">
        <v>3</v>
      </c>
      <c r="CH66" s="79" t="s">
        <v>1895</v>
      </c>
      <c r="CI66" s="79" t="s">
        <v>218</v>
      </c>
      <c r="CJ66" s="79" t="s">
        <v>1904</v>
      </c>
      <c r="CK66" s="79" t="s">
        <v>1902</v>
      </c>
      <c r="CL66" s="79" t="s">
        <v>19</v>
      </c>
      <c r="CM66" s="79">
        <v>3902</v>
      </c>
      <c r="CN66" s="79">
        <v>8</v>
      </c>
      <c r="CR66" s="79" t="s">
        <v>1961</v>
      </c>
      <c r="CT66" s="79" t="s">
        <v>19</v>
      </c>
    </row>
    <row r="67" spans="1:104" hidden="1">
      <c r="A67" s="29" t="s">
        <v>222</v>
      </c>
      <c r="B67" s="29" t="s">
        <v>83</v>
      </c>
      <c r="C67" s="30">
        <v>2</v>
      </c>
      <c r="D67" s="30" t="s">
        <v>218</v>
      </c>
      <c r="E67" s="30">
        <v>1</v>
      </c>
      <c r="F67" s="30"/>
      <c r="G67" s="30" t="s">
        <v>52</v>
      </c>
      <c r="H67" s="30"/>
      <c r="I67" s="30"/>
      <c r="J67" s="30"/>
      <c r="K67" s="30" t="s">
        <v>217</v>
      </c>
      <c r="L67" s="30" t="s">
        <v>218</v>
      </c>
      <c r="M67" s="30">
        <v>3</v>
      </c>
      <c r="N67" s="30">
        <v>0</v>
      </c>
      <c r="O67" s="23"/>
      <c r="P67" s="23"/>
      <c r="Q67" s="23"/>
      <c r="R67" s="23"/>
      <c r="S67" s="23" t="s">
        <v>64</v>
      </c>
      <c r="T67" s="23"/>
      <c r="U67" s="23" t="s">
        <v>54</v>
      </c>
      <c r="V67" s="23"/>
      <c r="W67" s="31">
        <v>2.89</v>
      </c>
      <c r="Y67" t="s">
        <v>40</v>
      </c>
      <c r="Z67" t="s">
        <v>53</v>
      </c>
      <c r="AA67" t="s">
        <v>51</v>
      </c>
      <c r="AB67" t="s">
        <v>72</v>
      </c>
      <c r="AF67" t="s">
        <v>1437</v>
      </c>
      <c r="AG67" t="s">
        <v>58</v>
      </c>
      <c r="BX67" t="s">
        <v>217</v>
      </c>
    </row>
    <row r="68" spans="1:104">
      <c r="A68" s="32" t="s">
        <v>223</v>
      </c>
      <c r="B68" s="32" t="s">
        <v>220</v>
      </c>
      <c r="C68" s="23">
        <v>1</v>
      </c>
      <c r="D68" s="23">
        <v>155000</v>
      </c>
      <c r="E68" s="23">
        <v>1</v>
      </c>
      <c r="F68" s="23">
        <v>0.13</v>
      </c>
      <c r="G68" s="23" t="s">
        <v>89</v>
      </c>
      <c r="H68" s="23">
        <v>441</v>
      </c>
      <c r="I68" s="23" t="s">
        <v>85</v>
      </c>
      <c r="J68" s="23">
        <v>294</v>
      </c>
      <c r="K68" s="23" t="s">
        <v>209</v>
      </c>
      <c r="L68" s="23" t="s">
        <v>218</v>
      </c>
      <c r="M68" s="23"/>
      <c r="N68" s="23"/>
      <c r="O68" s="23"/>
      <c r="P68" s="23"/>
      <c r="Q68" s="23"/>
      <c r="R68" s="23"/>
      <c r="S68" s="23" t="s">
        <v>64</v>
      </c>
      <c r="T68" s="23"/>
      <c r="U68" s="23" t="s">
        <v>87</v>
      </c>
      <c r="V68" s="23"/>
      <c r="W68" s="33">
        <v>0</v>
      </c>
      <c r="Y68" t="s">
        <v>161</v>
      </c>
      <c r="Z68" t="s">
        <v>53</v>
      </c>
      <c r="AA68" t="s">
        <v>51</v>
      </c>
      <c r="AB68" t="s">
        <v>72</v>
      </c>
      <c r="AF68" t="s">
        <v>1437</v>
      </c>
      <c r="AG68" t="s">
        <v>58</v>
      </c>
      <c r="AI68" t="str">
        <f t="shared" ref="AI68:AI69" si="7">BY68&amp;"_"&amp;CB68&amp;"_"&amp;L68&amp;"_p"&amp;C68&amp;"_"&amp;E68&amp;"st_"&amp;AK68&amp;"_"&amp;RIGHT(AG68,4)&amp;"_"&amp;AL68</f>
        <v>3_S235_SL40036103_p1_1st_GS_2050_P</v>
      </c>
      <c r="AJ68" t="s">
        <v>1430</v>
      </c>
      <c r="AK68" t="str">
        <f>CT68</f>
        <v>GS</v>
      </c>
      <c r="AL68" t="str">
        <f>CU68</f>
        <v>P</v>
      </c>
      <c r="AM68" t="s">
        <v>1674</v>
      </c>
      <c r="AZ68" s="64" t="s">
        <v>1479</v>
      </c>
      <c r="BA68" s="64" t="s">
        <v>1480</v>
      </c>
      <c r="BX68" t="s">
        <v>1691</v>
      </c>
      <c r="BY68">
        <v>3</v>
      </c>
      <c r="BZ68" t="s">
        <v>1692</v>
      </c>
      <c r="CA68" t="s">
        <v>1736</v>
      </c>
      <c r="CB68" t="s">
        <v>1895</v>
      </c>
      <c r="CG68">
        <v>3</v>
      </c>
      <c r="CH68" t="s">
        <v>1895</v>
      </c>
      <c r="CI68" t="s">
        <v>218</v>
      </c>
      <c r="CJ68" t="s">
        <v>1898</v>
      </c>
      <c r="CK68" t="s">
        <v>1902</v>
      </c>
      <c r="CL68" t="s">
        <v>1903</v>
      </c>
      <c r="CM68">
        <v>3902</v>
      </c>
      <c r="CN68" t="s">
        <v>1910</v>
      </c>
      <c r="CO68">
        <v>3</v>
      </c>
      <c r="CR68" t="s">
        <v>1962</v>
      </c>
      <c r="CS68" t="s">
        <v>1430</v>
      </c>
      <c r="CT68" t="s">
        <v>1903</v>
      </c>
      <c r="CU68" t="s">
        <v>1910</v>
      </c>
      <c r="CW68" t="b">
        <f>AI68=CR68</f>
        <v>1</v>
      </c>
      <c r="CX68" t="b">
        <f t="shared" ref="CX68" si="8">AJ68=CS68</f>
        <v>1</v>
      </c>
      <c r="CY68" t="b">
        <f t="shared" ref="CY68" si="9">AK68=CT68</f>
        <v>1</v>
      </c>
      <c r="CZ68" t="b">
        <f t="shared" ref="CZ68" si="10">AL68=CU68</f>
        <v>1</v>
      </c>
    </row>
    <row r="69" spans="1:104" s="79" customFormat="1">
      <c r="A69" s="80" t="s">
        <v>224</v>
      </c>
      <c r="B69" s="80" t="s">
        <v>220</v>
      </c>
      <c r="C69" s="81">
        <v>3</v>
      </c>
      <c r="D69" s="81">
        <v>155000</v>
      </c>
      <c r="E69" s="81">
        <v>1</v>
      </c>
      <c r="F69" s="81">
        <v>1.7000000000000001E-2</v>
      </c>
      <c r="G69" s="81" t="s">
        <v>89</v>
      </c>
      <c r="H69" s="81">
        <v>206</v>
      </c>
      <c r="I69" s="81" t="s">
        <v>85</v>
      </c>
      <c r="J69" s="81">
        <v>85</v>
      </c>
      <c r="K69" s="81" t="s">
        <v>209</v>
      </c>
      <c r="L69" s="81" t="s">
        <v>218</v>
      </c>
      <c r="M69" s="81"/>
      <c r="N69" s="81"/>
      <c r="O69" s="23"/>
      <c r="P69" s="23"/>
      <c r="Q69" s="23"/>
      <c r="R69" s="23"/>
      <c r="S69" s="23" t="s">
        <v>64</v>
      </c>
      <c r="T69" s="23"/>
      <c r="U69" s="23" t="s">
        <v>87</v>
      </c>
      <c r="V69" s="23"/>
      <c r="W69" s="82">
        <v>0</v>
      </c>
      <c r="Y69" s="79" t="s">
        <v>161</v>
      </c>
      <c r="Z69" s="79" t="s">
        <v>53</v>
      </c>
      <c r="AA69" s="79" t="s">
        <v>51</v>
      </c>
      <c r="AB69" s="79" t="s">
        <v>72</v>
      </c>
      <c r="AF69" s="79" t="s">
        <v>1437</v>
      </c>
      <c r="AG69" s="79" t="s">
        <v>58</v>
      </c>
      <c r="AI69" s="79" t="str">
        <f t="shared" si="7"/>
        <v>3_S235_SL40036103_p3_1st_S_2050_1</v>
      </c>
      <c r="AK69" s="79" t="s">
        <v>19</v>
      </c>
      <c r="AL69" s="79">
        <v>1</v>
      </c>
      <c r="AM69" s="79" t="s">
        <v>1675</v>
      </c>
      <c r="AO69"/>
      <c r="AP69"/>
      <c r="AQ69"/>
      <c r="AR69"/>
      <c r="AS69"/>
      <c r="AT69"/>
      <c r="AU69"/>
      <c r="AV69"/>
      <c r="AW69"/>
      <c r="AX69"/>
      <c r="AY69"/>
      <c r="AZ69" s="83" t="s">
        <v>1477</v>
      </c>
      <c r="BA69" s="83" t="s">
        <v>1478</v>
      </c>
      <c r="BX69" s="79" t="s">
        <v>1691</v>
      </c>
      <c r="BY69" s="79">
        <v>3</v>
      </c>
      <c r="BZ69" s="79" t="s">
        <v>1692</v>
      </c>
      <c r="CA69" s="79" t="s">
        <v>1736</v>
      </c>
      <c r="CB69" s="79" t="s">
        <v>1895</v>
      </c>
      <c r="CG69" s="79">
        <v>3</v>
      </c>
      <c r="CH69" s="79" t="s">
        <v>1895</v>
      </c>
      <c r="CI69" s="79" t="s">
        <v>218</v>
      </c>
      <c r="CJ69" s="79" t="s">
        <v>1904</v>
      </c>
      <c r="CK69" s="79" t="s">
        <v>1902</v>
      </c>
      <c r="CL69" s="79" t="s">
        <v>19</v>
      </c>
      <c r="CM69" s="79">
        <v>3902</v>
      </c>
      <c r="CN69" s="79">
        <v>8</v>
      </c>
      <c r="CR69" s="79" t="s">
        <v>1961</v>
      </c>
      <c r="CT69" s="79" t="s">
        <v>19</v>
      </c>
    </row>
    <row r="70" spans="1:104" hidden="1">
      <c r="A70" s="32" t="s">
        <v>225</v>
      </c>
      <c r="B70" s="32" t="s">
        <v>83</v>
      </c>
      <c r="C70" s="23">
        <v>101</v>
      </c>
      <c r="D70" s="23">
        <v>24724300</v>
      </c>
      <c r="E70" s="23">
        <v>4</v>
      </c>
      <c r="F70" s="23"/>
      <c r="G70" s="23" t="s">
        <v>52</v>
      </c>
      <c r="H70" s="23" t="s">
        <v>226</v>
      </c>
      <c r="I70" s="23"/>
      <c r="J70" s="23"/>
      <c r="K70" s="23" t="s">
        <v>227</v>
      </c>
      <c r="L70" s="23" t="s">
        <v>218</v>
      </c>
      <c r="M70" s="23"/>
      <c r="N70" s="23"/>
      <c r="O70" s="23"/>
      <c r="P70" s="23"/>
      <c r="Q70" s="23"/>
      <c r="R70" s="23"/>
      <c r="S70" s="23" t="s">
        <v>64</v>
      </c>
      <c r="T70" s="23"/>
      <c r="U70" s="23" t="s">
        <v>17</v>
      </c>
      <c r="V70" s="23"/>
      <c r="W70" s="33">
        <v>2.5999999999999999E-2</v>
      </c>
      <c r="Y70" t="s">
        <v>124</v>
      </c>
      <c r="Z70" t="s">
        <v>53</v>
      </c>
      <c r="AA70" t="s">
        <v>51</v>
      </c>
      <c r="AB70" t="s">
        <v>72</v>
      </c>
      <c r="AF70" t="s">
        <v>1437</v>
      </c>
      <c r="AG70" t="s">
        <v>58</v>
      </c>
      <c r="BX70" t="s">
        <v>1713</v>
      </c>
      <c r="BY70" t="s">
        <v>1741</v>
      </c>
      <c r="BZ70" t="s">
        <v>1714</v>
      </c>
      <c r="CA70" s="76">
        <v>46242</v>
      </c>
      <c r="CB70" t="s">
        <v>1740</v>
      </c>
    </row>
    <row r="71" spans="1:104" hidden="1">
      <c r="A71" s="32" t="s">
        <v>228</v>
      </c>
      <c r="B71" s="32" t="s">
        <v>83</v>
      </c>
      <c r="C71" s="23">
        <v>102</v>
      </c>
      <c r="D71" s="23">
        <v>24398500</v>
      </c>
      <c r="E71" s="23">
        <v>4</v>
      </c>
      <c r="F71" s="23"/>
      <c r="G71" s="23" t="s">
        <v>52</v>
      </c>
      <c r="H71" s="23" t="s">
        <v>229</v>
      </c>
      <c r="I71" s="23"/>
      <c r="J71" s="23"/>
      <c r="K71" s="23" t="s">
        <v>230</v>
      </c>
      <c r="L71" s="23" t="s">
        <v>218</v>
      </c>
      <c r="M71" s="23"/>
      <c r="N71" s="23"/>
      <c r="O71" s="23"/>
      <c r="P71" s="23"/>
      <c r="Q71" s="23"/>
      <c r="R71" s="23"/>
      <c r="S71" s="23" t="s">
        <v>64</v>
      </c>
      <c r="T71" s="23"/>
      <c r="U71" s="23" t="s">
        <v>17</v>
      </c>
      <c r="V71" s="23"/>
      <c r="W71" s="33">
        <v>7.0000000000000001E-3</v>
      </c>
      <c r="Y71" t="s">
        <v>124</v>
      </c>
      <c r="Z71" t="s">
        <v>53</v>
      </c>
      <c r="AA71" t="s">
        <v>51</v>
      </c>
      <c r="AB71" t="s">
        <v>72</v>
      </c>
      <c r="AF71" t="s">
        <v>1437</v>
      </c>
      <c r="AG71" t="s">
        <v>58</v>
      </c>
      <c r="BX71" t="s">
        <v>1717</v>
      </c>
      <c r="BY71" t="s">
        <v>229</v>
      </c>
      <c r="BZ71" t="s">
        <v>1718</v>
      </c>
      <c r="CA71">
        <v>8</v>
      </c>
      <c r="CB71" t="s">
        <v>1740</v>
      </c>
    </row>
    <row r="72" spans="1:104" hidden="1">
      <c r="A72" s="32" t="s">
        <v>231</v>
      </c>
      <c r="B72" s="32" t="s">
        <v>83</v>
      </c>
      <c r="C72" s="23">
        <v>103</v>
      </c>
      <c r="D72" s="23">
        <v>24389600</v>
      </c>
      <c r="E72" s="23">
        <v>8</v>
      </c>
      <c r="F72" s="23"/>
      <c r="G72" s="23" t="s">
        <v>52</v>
      </c>
      <c r="H72" s="23">
        <v>10.5</v>
      </c>
      <c r="I72" s="23"/>
      <c r="J72" s="23"/>
      <c r="K72" s="23" t="s">
        <v>232</v>
      </c>
      <c r="L72" s="23" t="s">
        <v>218</v>
      </c>
      <c r="M72" s="23"/>
      <c r="N72" s="23"/>
      <c r="O72" s="23"/>
      <c r="P72" s="23"/>
      <c r="Q72" s="23"/>
      <c r="R72" s="23"/>
      <c r="S72" s="23" t="s">
        <v>64</v>
      </c>
      <c r="T72" s="23"/>
      <c r="U72" s="23" t="s">
        <v>17</v>
      </c>
      <c r="V72" s="23"/>
      <c r="W72" s="33">
        <v>4.0000000000000001E-3</v>
      </c>
      <c r="Y72" t="s">
        <v>124</v>
      </c>
      <c r="Z72" t="s">
        <v>53</v>
      </c>
      <c r="AA72" t="s">
        <v>51</v>
      </c>
      <c r="AB72" t="s">
        <v>72</v>
      </c>
      <c r="AF72" t="s">
        <v>1437</v>
      </c>
      <c r="AG72" t="s">
        <v>58</v>
      </c>
      <c r="BX72" t="s">
        <v>1719</v>
      </c>
      <c r="BY72">
        <v>10.5</v>
      </c>
      <c r="BZ72" t="s">
        <v>763</v>
      </c>
      <c r="CA72" t="s">
        <v>1720</v>
      </c>
      <c r="CB72" t="s">
        <v>1721</v>
      </c>
    </row>
    <row r="73" spans="1:104" hidden="1">
      <c r="A73" s="29" t="s">
        <v>233</v>
      </c>
      <c r="B73" s="29" t="s">
        <v>79</v>
      </c>
      <c r="C73" s="30">
        <v>6</v>
      </c>
      <c r="D73" s="30" t="s">
        <v>234</v>
      </c>
      <c r="E73" s="30">
        <v>1</v>
      </c>
      <c r="F73" s="30"/>
      <c r="G73" s="30" t="s">
        <v>52</v>
      </c>
      <c r="H73" s="30"/>
      <c r="I73" s="30"/>
      <c r="J73" s="30"/>
      <c r="K73" s="30" t="s">
        <v>235</v>
      </c>
      <c r="L73" s="30" t="s">
        <v>234</v>
      </c>
      <c r="M73" s="30">
        <v>3</v>
      </c>
      <c r="N73" s="30"/>
      <c r="O73" s="23"/>
      <c r="P73" s="23"/>
      <c r="Q73" s="23"/>
      <c r="R73" s="23"/>
      <c r="S73" s="23" t="s">
        <v>64</v>
      </c>
      <c r="T73" s="23"/>
      <c r="U73" s="23" t="s">
        <v>54</v>
      </c>
      <c r="V73" s="23"/>
      <c r="W73" s="31">
        <v>24.8</v>
      </c>
      <c r="Y73" t="s">
        <v>40</v>
      </c>
      <c r="Z73" t="s">
        <v>53</v>
      </c>
      <c r="AA73" t="s">
        <v>51</v>
      </c>
      <c r="AB73" t="s">
        <v>72</v>
      </c>
      <c r="AC73" t="s">
        <v>1420</v>
      </c>
      <c r="AF73" t="s">
        <v>1437</v>
      </c>
      <c r="AG73" t="s">
        <v>58</v>
      </c>
      <c r="BX73" t="s">
        <v>235</v>
      </c>
    </row>
    <row r="74" spans="1:104" hidden="1">
      <c r="A74" s="32" t="s">
        <v>236</v>
      </c>
      <c r="B74" s="32" t="s">
        <v>83</v>
      </c>
      <c r="C74" s="23">
        <v>1</v>
      </c>
      <c r="D74" s="23">
        <v>3670200</v>
      </c>
      <c r="E74" s="23">
        <v>1</v>
      </c>
      <c r="F74" s="23">
        <v>0.45700000000000002</v>
      </c>
      <c r="G74" s="23" t="s">
        <v>89</v>
      </c>
      <c r="H74" s="23" t="s">
        <v>237</v>
      </c>
      <c r="I74" s="23" t="s">
        <v>85</v>
      </c>
      <c r="J74" s="23">
        <v>383</v>
      </c>
      <c r="K74" s="23" t="s">
        <v>238</v>
      </c>
      <c r="L74" s="23" t="s">
        <v>234</v>
      </c>
      <c r="M74" s="23"/>
      <c r="N74" s="23"/>
      <c r="O74" s="23"/>
      <c r="P74" s="23"/>
      <c r="Q74" s="23"/>
      <c r="R74" s="23"/>
      <c r="S74" s="23" t="s">
        <v>64</v>
      </c>
      <c r="T74" s="23"/>
      <c r="U74" s="23" t="s">
        <v>87</v>
      </c>
      <c r="V74" s="23"/>
      <c r="W74" s="33">
        <v>0</v>
      </c>
      <c r="Y74" t="s">
        <v>161</v>
      </c>
      <c r="Z74" t="s">
        <v>53</v>
      </c>
      <c r="AA74" t="s">
        <v>51</v>
      </c>
      <c r="AB74" t="s">
        <v>72</v>
      </c>
      <c r="AC74" t="s">
        <v>1420</v>
      </c>
      <c r="AF74" t="s">
        <v>1437</v>
      </c>
      <c r="AG74" t="s">
        <v>58</v>
      </c>
      <c r="AI74" t="str">
        <f t="shared" ref="AI74:AI75" si="11">BY74&amp;"_"&amp;CB74&amp;"_"&amp;L74&amp;"_p"&amp;C74&amp;"_"&amp;E74&amp;"st_"&amp;AK74&amp;"_"&amp;RIGHT(AG74,4)&amp;"_"&amp;AL74</f>
        <v>6_S235_SL41034900_p1_1st__2050_</v>
      </c>
      <c r="AM74" t="s">
        <v>1673</v>
      </c>
      <c r="AZ74" s="64" t="s">
        <v>1481</v>
      </c>
      <c r="BA74" s="64" t="s">
        <v>1482</v>
      </c>
      <c r="BX74" t="s">
        <v>1691</v>
      </c>
      <c r="BY74">
        <v>6</v>
      </c>
      <c r="BZ74" t="s">
        <v>1692</v>
      </c>
      <c r="CA74" t="s">
        <v>1693</v>
      </c>
      <c r="CB74" t="s">
        <v>1895</v>
      </c>
      <c r="CG74">
        <v>6</v>
      </c>
      <c r="CH74" t="s">
        <v>1895</v>
      </c>
      <c r="CI74" t="s">
        <v>234</v>
      </c>
      <c r="CJ74" t="s">
        <v>1898</v>
      </c>
      <c r="CK74" t="s">
        <v>1914</v>
      </c>
      <c r="CL74" t="s">
        <v>1903</v>
      </c>
      <c r="CM74" t="s">
        <v>1915</v>
      </c>
      <c r="CR74" t="s">
        <v>1963</v>
      </c>
    </row>
    <row r="75" spans="1:104" hidden="1">
      <c r="A75" s="32" t="s">
        <v>239</v>
      </c>
      <c r="B75" s="32" t="s">
        <v>83</v>
      </c>
      <c r="C75" s="23">
        <v>2</v>
      </c>
      <c r="D75" s="23">
        <v>3667000</v>
      </c>
      <c r="E75" s="23">
        <v>2</v>
      </c>
      <c r="F75" s="23">
        <v>5.5E-2</v>
      </c>
      <c r="G75" s="23" t="s">
        <v>89</v>
      </c>
      <c r="H75" s="23">
        <v>186</v>
      </c>
      <c r="I75" s="23" t="s">
        <v>85</v>
      </c>
      <c r="J75" s="23">
        <v>150</v>
      </c>
      <c r="K75" s="23" t="s">
        <v>240</v>
      </c>
      <c r="L75" s="23" t="s">
        <v>234</v>
      </c>
      <c r="M75" s="23"/>
      <c r="N75" s="23"/>
      <c r="O75" s="23"/>
      <c r="P75" s="23"/>
      <c r="Q75" s="23"/>
      <c r="R75" s="23"/>
      <c r="S75" s="23" t="s">
        <v>64</v>
      </c>
      <c r="T75" s="23"/>
      <c r="U75" s="23" t="s">
        <v>87</v>
      </c>
      <c r="V75" s="23"/>
      <c r="W75" s="33">
        <v>0</v>
      </c>
      <c r="Y75" t="s">
        <v>161</v>
      </c>
      <c r="Z75" t="s">
        <v>53</v>
      </c>
      <c r="AA75" t="s">
        <v>51</v>
      </c>
      <c r="AB75" t="s">
        <v>72</v>
      </c>
      <c r="AC75" t="s">
        <v>1420</v>
      </c>
      <c r="AF75" t="s">
        <v>1437</v>
      </c>
      <c r="AG75" t="s">
        <v>58</v>
      </c>
      <c r="AI75" t="str">
        <f t="shared" si="11"/>
        <v>8_S235_SL41034900_p2_2st__2050_</v>
      </c>
      <c r="AM75" t="s">
        <v>1673</v>
      </c>
      <c r="AZ75" s="64" t="s">
        <v>1483</v>
      </c>
      <c r="BA75" s="64" t="s">
        <v>1484</v>
      </c>
      <c r="BX75" t="s">
        <v>1691</v>
      </c>
      <c r="BY75">
        <v>8</v>
      </c>
      <c r="BZ75" t="s">
        <v>1692</v>
      </c>
      <c r="CA75" t="s">
        <v>1693</v>
      </c>
      <c r="CB75" t="s">
        <v>1895</v>
      </c>
      <c r="CG75">
        <v>8</v>
      </c>
      <c r="CH75" t="s">
        <v>1895</v>
      </c>
      <c r="CI75" t="s">
        <v>234</v>
      </c>
      <c r="CJ75" t="s">
        <v>1901</v>
      </c>
      <c r="CK75" t="s">
        <v>1916</v>
      </c>
      <c r="CL75" t="s">
        <v>19</v>
      </c>
      <c r="CM75" t="s">
        <v>1915</v>
      </c>
      <c r="CR75" t="s">
        <v>1964</v>
      </c>
    </row>
    <row r="76" spans="1:104" hidden="1">
      <c r="A76" s="29" t="s">
        <v>241</v>
      </c>
      <c r="B76" s="29" t="s">
        <v>79</v>
      </c>
      <c r="C76" s="30">
        <v>7</v>
      </c>
      <c r="D76" s="30" t="s">
        <v>242</v>
      </c>
      <c r="E76" s="30">
        <v>1</v>
      </c>
      <c r="F76" s="30"/>
      <c r="G76" s="30" t="s">
        <v>52</v>
      </c>
      <c r="H76" s="30"/>
      <c r="I76" s="30"/>
      <c r="J76" s="30"/>
      <c r="K76" s="30" t="s">
        <v>243</v>
      </c>
      <c r="L76" s="30" t="s">
        <v>242</v>
      </c>
      <c r="M76" s="30">
        <v>3</v>
      </c>
      <c r="N76" s="30"/>
      <c r="O76" s="23"/>
      <c r="P76" s="23"/>
      <c r="Q76" s="23"/>
      <c r="R76" s="23"/>
      <c r="S76" s="23" t="s">
        <v>64</v>
      </c>
      <c r="T76" s="23"/>
      <c r="U76" s="23" t="s">
        <v>54</v>
      </c>
      <c r="V76" s="23"/>
      <c r="W76" s="31">
        <v>6.4429999999999996</v>
      </c>
      <c r="Y76" t="s">
        <v>40</v>
      </c>
      <c r="Z76" t="s">
        <v>53</v>
      </c>
      <c r="AA76" t="s">
        <v>51</v>
      </c>
      <c r="AB76" t="s">
        <v>72</v>
      </c>
      <c r="AC76" t="s">
        <v>1420</v>
      </c>
      <c r="AF76" t="s">
        <v>1437</v>
      </c>
      <c r="AG76" t="s">
        <v>58</v>
      </c>
      <c r="BX76" t="s">
        <v>243</v>
      </c>
    </row>
    <row r="77" spans="1:104" hidden="1">
      <c r="A77" s="32" t="s">
        <v>244</v>
      </c>
      <c r="B77" s="32" t="s">
        <v>83</v>
      </c>
      <c r="C77" s="23">
        <v>1</v>
      </c>
      <c r="D77" s="23">
        <v>2816800</v>
      </c>
      <c r="E77" s="23">
        <v>1</v>
      </c>
      <c r="F77" s="23">
        <v>0.28000000000000003</v>
      </c>
      <c r="G77" s="23" t="s">
        <v>89</v>
      </c>
      <c r="H77" s="23" t="s">
        <v>245</v>
      </c>
      <c r="I77" s="23" t="s">
        <v>85</v>
      </c>
      <c r="J77" s="23">
        <v>220</v>
      </c>
      <c r="K77" s="23" t="s">
        <v>246</v>
      </c>
      <c r="L77" s="23" t="s">
        <v>242</v>
      </c>
      <c r="M77" s="23"/>
      <c r="N77" s="23"/>
      <c r="O77" s="23"/>
      <c r="P77" s="23"/>
      <c r="Q77" s="23"/>
      <c r="R77" s="23"/>
      <c r="S77" s="23" t="s">
        <v>64</v>
      </c>
      <c r="T77" s="23"/>
      <c r="U77" s="23" t="s">
        <v>87</v>
      </c>
      <c r="V77" s="23"/>
      <c r="W77" s="33">
        <v>0</v>
      </c>
      <c r="Y77" t="s">
        <v>161</v>
      </c>
      <c r="Z77" t="s">
        <v>53</v>
      </c>
      <c r="AA77" t="s">
        <v>51</v>
      </c>
      <c r="AB77" t="s">
        <v>72</v>
      </c>
      <c r="AC77" t="s">
        <v>1420</v>
      </c>
      <c r="AF77" t="s">
        <v>1437</v>
      </c>
      <c r="AG77" t="s">
        <v>58</v>
      </c>
      <c r="AI77" t="str">
        <f>BY77&amp;"_"&amp;CB77&amp;"_"&amp;L77&amp;"_p"&amp;C77&amp;"_"&amp;E77&amp;"st_"&amp;AK77&amp;"_"&amp;RIGHT(AG77,4)&amp;"_"&amp;AL77</f>
        <v>3_oc_SL41034903_p1_1st__2050_</v>
      </c>
      <c r="AM77" t="s">
        <v>1673</v>
      </c>
      <c r="AZ77" s="64" t="s">
        <v>1485</v>
      </c>
      <c r="BA77" s="64" t="s">
        <v>1486</v>
      </c>
      <c r="BX77" t="s">
        <v>1691</v>
      </c>
      <c r="BY77">
        <v>3</v>
      </c>
      <c r="BZ77" t="s">
        <v>1742</v>
      </c>
      <c r="CA77" t="s">
        <v>1743</v>
      </c>
      <c r="CB77" t="s">
        <v>1897</v>
      </c>
      <c r="CG77">
        <v>3</v>
      </c>
      <c r="CH77" t="s">
        <v>1896</v>
      </c>
      <c r="CI77" t="s">
        <v>242</v>
      </c>
      <c r="CJ77" t="s">
        <v>1898</v>
      </c>
      <c r="CK77" t="s">
        <v>1902</v>
      </c>
      <c r="CL77" t="s">
        <v>1903</v>
      </c>
      <c r="CM77">
        <v>3614</v>
      </c>
      <c r="CR77" t="s">
        <v>1965</v>
      </c>
    </row>
    <row r="78" spans="1:104" hidden="1">
      <c r="A78" s="29" t="s">
        <v>247</v>
      </c>
      <c r="B78" s="29" t="s">
        <v>79</v>
      </c>
      <c r="C78" s="30">
        <v>8</v>
      </c>
      <c r="D78" s="30" t="s">
        <v>248</v>
      </c>
      <c r="E78" s="30">
        <v>1</v>
      </c>
      <c r="F78" s="30"/>
      <c r="G78" s="30" t="s">
        <v>52</v>
      </c>
      <c r="H78" s="30"/>
      <c r="I78" s="30"/>
      <c r="J78" s="30"/>
      <c r="K78" s="30" t="s">
        <v>249</v>
      </c>
      <c r="L78" s="30" t="s">
        <v>248</v>
      </c>
      <c r="M78" s="30">
        <v>4</v>
      </c>
      <c r="N78" s="30"/>
      <c r="O78" s="23"/>
      <c r="P78" s="23"/>
      <c r="Q78" s="23"/>
      <c r="R78" s="23"/>
      <c r="S78" s="23" t="s">
        <v>64</v>
      </c>
      <c r="T78" s="23"/>
      <c r="U78" s="23" t="s">
        <v>54</v>
      </c>
      <c r="V78" s="23"/>
      <c r="W78" s="31">
        <v>5.37</v>
      </c>
      <c r="Y78" t="s">
        <v>40</v>
      </c>
      <c r="Z78" t="s">
        <v>53</v>
      </c>
      <c r="AA78" t="s">
        <v>51</v>
      </c>
      <c r="AB78" t="s">
        <v>72</v>
      </c>
      <c r="AC78" t="s">
        <v>1420</v>
      </c>
      <c r="AF78" t="s">
        <v>1437</v>
      </c>
      <c r="AG78" t="s">
        <v>58</v>
      </c>
      <c r="BX78" t="s">
        <v>249</v>
      </c>
    </row>
    <row r="79" spans="1:104" hidden="1">
      <c r="A79" s="32" t="s">
        <v>250</v>
      </c>
      <c r="B79" s="32" t="s">
        <v>83</v>
      </c>
      <c r="C79" s="23">
        <v>1</v>
      </c>
      <c r="D79" s="23">
        <v>2816800</v>
      </c>
      <c r="E79" s="23">
        <v>1</v>
      </c>
      <c r="F79" s="23">
        <v>0.23</v>
      </c>
      <c r="G79" s="23" t="s">
        <v>89</v>
      </c>
      <c r="H79" s="23" t="s">
        <v>251</v>
      </c>
      <c r="I79" s="23" t="s">
        <v>85</v>
      </c>
      <c r="J79" s="23">
        <v>200</v>
      </c>
      <c r="K79" s="23" t="s">
        <v>246</v>
      </c>
      <c r="L79" s="23" t="s">
        <v>248</v>
      </c>
      <c r="M79" s="23"/>
      <c r="N79" s="23"/>
      <c r="O79" s="23"/>
      <c r="P79" s="23"/>
      <c r="Q79" s="23"/>
      <c r="R79" s="23"/>
      <c r="S79" s="23" t="s">
        <v>64</v>
      </c>
      <c r="T79" s="23"/>
      <c r="U79" s="23" t="s">
        <v>87</v>
      </c>
      <c r="V79" s="23"/>
      <c r="W79" s="33">
        <v>0</v>
      </c>
      <c r="Y79" t="s">
        <v>161</v>
      </c>
      <c r="Z79" t="s">
        <v>53</v>
      </c>
      <c r="AA79" t="s">
        <v>51</v>
      </c>
      <c r="AB79" t="s">
        <v>72</v>
      </c>
      <c r="AC79" t="s">
        <v>1420</v>
      </c>
      <c r="AF79" t="s">
        <v>1437</v>
      </c>
      <c r="AG79" t="s">
        <v>58</v>
      </c>
      <c r="AI79" t="str">
        <f>BY79&amp;"_"&amp;CB79&amp;"_"&amp;L79&amp;"_p"&amp;C79&amp;"_"&amp;E79&amp;"st_"&amp;AK79&amp;"_"&amp;RIGHT(AG79,4)&amp;"_"&amp;AL79</f>
        <v>3_oc_SL41034904_p1_1st__2050_</v>
      </c>
      <c r="AM79" t="s">
        <v>1673</v>
      </c>
      <c r="AZ79" s="64" t="s">
        <v>1487</v>
      </c>
      <c r="BA79" s="64" t="s">
        <v>1488</v>
      </c>
      <c r="BX79" t="s">
        <v>1691</v>
      </c>
      <c r="BY79">
        <v>3</v>
      </c>
      <c r="BZ79" t="s">
        <v>1742</v>
      </c>
      <c r="CA79" t="s">
        <v>1743</v>
      </c>
      <c r="CB79" t="s">
        <v>1897</v>
      </c>
      <c r="CG79">
        <v>3</v>
      </c>
      <c r="CH79" t="s">
        <v>1896</v>
      </c>
      <c r="CI79" t="s">
        <v>248</v>
      </c>
      <c r="CJ79" t="s">
        <v>1898</v>
      </c>
      <c r="CK79" t="s">
        <v>1902</v>
      </c>
      <c r="CM79">
        <v>3614</v>
      </c>
      <c r="CR79" t="s">
        <v>1966</v>
      </c>
    </row>
    <row r="80" spans="1:104" hidden="1">
      <c r="A80" s="29" t="s">
        <v>252</v>
      </c>
      <c r="B80" s="29" t="s">
        <v>79</v>
      </c>
      <c r="C80" s="30">
        <v>9</v>
      </c>
      <c r="D80" s="30" t="s">
        <v>253</v>
      </c>
      <c r="E80" s="30">
        <v>2</v>
      </c>
      <c r="F80" s="30"/>
      <c r="G80" s="30" t="s">
        <v>52</v>
      </c>
      <c r="H80" s="30"/>
      <c r="I80" s="30"/>
      <c r="J80" s="30"/>
      <c r="K80" s="30" t="s">
        <v>254</v>
      </c>
      <c r="L80" s="30" t="s">
        <v>253</v>
      </c>
      <c r="M80" s="30">
        <v>3</v>
      </c>
      <c r="N80" s="30"/>
      <c r="O80" s="23"/>
      <c r="P80" s="23"/>
      <c r="Q80" s="23"/>
      <c r="R80" s="23"/>
      <c r="S80" s="23" t="s">
        <v>64</v>
      </c>
      <c r="T80" s="23"/>
      <c r="U80" s="23" t="s">
        <v>54</v>
      </c>
      <c r="V80" s="23"/>
      <c r="W80" s="31">
        <v>0.24199999999999999</v>
      </c>
      <c r="Y80" t="s">
        <v>40</v>
      </c>
      <c r="Z80" t="s">
        <v>53</v>
      </c>
      <c r="AA80" t="s">
        <v>51</v>
      </c>
      <c r="AB80" t="s">
        <v>72</v>
      </c>
      <c r="AC80" t="s">
        <v>1420</v>
      </c>
      <c r="AF80" t="s">
        <v>1437</v>
      </c>
      <c r="AG80" t="s">
        <v>58</v>
      </c>
      <c r="BX80" t="s">
        <v>254</v>
      </c>
    </row>
    <row r="81" spans="1:96" hidden="1">
      <c r="A81" s="32" t="s">
        <v>255</v>
      </c>
      <c r="B81" s="32" t="s">
        <v>83</v>
      </c>
      <c r="C81" s="23">
        <v>1</v>
      </c>
      <c r="D81" s="23">
        <v>88500</v>
      </c>
      <c r="E81" s="23">
        <v>4</v>
      </c>
      <c r="F81" s="23">
        <v>1.2999999999999999E-2</v>
      </c>
      <c r="G81" s="23" t="s">
        <v>89</v>
      </c>
      <c r="H81" s="23">
        <v>150</v>
      </c>
      <c r="I81" s="23" t="s">
        <v>85</v>
      </c>
      <c r="J81" s="23">
        <v>20</v>
      </c>
      <c r="K81" s="23" t="s">
        <v>256</v>
      </c>
      <c r="L81" s="23" t="s">
        <v>253</v>
      </c>
      <c r="M81" s="23"/>
      <c r="N81" s="23"/>
      <c r="O81" s="23"/>
      <c r="P81" s="23"/>
      <c r="Q81" s="23"/>
      <c r="R81" s="23"/>
      <c r="S81" s="23" t="s">
        <v>64</v>
      </c>
      <c r="T81" s="23"/>
      <c r="U81" s="23" t="s">
        <v>87</v>
      </c>
      <c r="V81" s="23"/>
      <c r="W81" s="33">
        <v>0</v>
      </c>
      <c r="Y81" t="s">
        <v>161</v>
      </c>
      <c r="Z81" t="s">
        <v>53</v>
      </c>
      <c r="AA81" t="s">
        <v>51</v>
      </c>
      <c r="AB81" t="s">
        <v>72</v>
      </c>
      <c r="AC81" t="s">
        <v>1420</v>
      </c>
      <c r="AF81" t="s">
        <v>1437</v>
      </c>
      <c r="AG81" t="s">
        <v>58</v>
      </c>
      <c r="AI81" t="str">
        <f>BY81&amp;"_"&amp;CB81&amp;"_"&amp;L81&amp;"_p"&amp;C81&amp;"_"&amp;E81&amp;"st_"&amp;AK81&amp;"_"&amp;RIGHT(AG81,4)&amp;"_"&amp;AL81</f>
        <v>4_S235_SL40034914_p1_4st__2050_</v>
      </c>
      <c r="AM81" t="s">
        <v>1673</v>
      </c>
      <c r="AZ81" s="64" t="s">
        <v>1489</v>
      </c>
      <c r="BA81" s="64" t="s">
        <v>1490</v>
      </c>
      <c r="BX81" t="s">
        <v>1691</v>
      </c>
      <c r="BY81">
        <v>4</v>
      </c>
      <c r="BZ81" t="s">
        <v>1692</v>
      </c>
      <c r="CA81" t="s">
        <v>1736</v>
      </c>
      <c r="CB81" t="s">
        <v>1895</v>
      </c>
      <c r="CG81">
        <v>4</v>
      </c>
      <c r="CH81" t="s">
        <v>1895</v>
      </c>
      <c r="CI81" t="s">
        <v>253</v>
      </c>
      <c r="CJ81" t="s">
        <v>1898</v>
      </c>
      <c r="CK81" t="s">
        <v>1917</v>
      </c>
      <c r="CM81">
        <v>3902</v>
      </c>
      <c r="CN81">
        <v>1</v>
      </c>
      <c r="CR81" t="s">
        <v>1967</v>
      </c>
    </row>
    <row r="82" spans="1:96" hidden="1">
      <c r="A82" s="32" t="s">
        <v>257</v>
      </c>
      <c r="B82" s="32" t="s">
        <v>83</v>
      </c>
      <c r="C82" s="23">
        <v>2</v>
      </c>
      <c r="D82" s="23">
        <v>3683600</v>
      </c>
      <c r="E82" s="23">
        <v>2</v>
      </c>
      <c r="F82" s="23">
        <v>0.03</v>
      </c>
      <c r="G82" s="23" t="s">
        <v>89</v>
      </c>
      <c r="H82" s="23">
        <v>100</v>
      </c>
      <c r="I82" s="23" t="s">
        <v>85</v>
      </c>
      <c r="J82" s="23">
        <v>150</v>
      </c>
      <c r="K82" s="23" t="s">
        <v>258</v>
      </c>
      <c r="L82" s="23" t="s">
        <v>253</v>
      </c>
      <c r="M82" s="23"/>
      <c r="N82" s="23"/>
      <c r="O82" s="23"/>
      <c r="P82" s="23"/>
      <c r="Q82" s="23"/>
      <c r="R82" s="23"/>
      <c r="S82" s="23" t="s">
        <v>64</v>
      </c>
      <c r="T82" s="23"/>
      <c r="U82" s="23" t="s">
        <v>17</v>
      </c>
      <c r="V82" s="23"/>
      <c r="W82" s="33">
        <v>0</v>
      </c>
      <c r="Y82" t="s">
        <v>259</v>
      </c>
      <c r="Z82" t="s">
        <v>53</v>
      </c>
      <c r="AA82" t="s">
        <v>51</v>
      </c>
      <c r="AB82" t="s">
        <v>72</v>
      </c>
      <c r="AC82" t="s">
        <v>1420</v>
      </c>
      <c r="AF82" t="s">
        <v>1437</v>
      </c>
      <c r="AG82" t="s">
        <v>58</v>
      </c>
      <c r="BX82" t="s">
        <v>1744</v>
      </c>
      <c r="BY82">
        <v>4</v>
      </c>
      <c r="BZ82" t="s">
        <v>1745</v>
      </c>
      <c r="CA82" t="s">
        <v>1746</v>
      </c>
      <c r="CB82" t="s">
        <v>1747</v>
      </c>
    </row>
    <row r="83" spans="1:96" hidden="1">
      <c r="A83" s="32" t="s">
        <v>260</v>
      </c>
      <c r="B83" s="32" t="s">
        <v>83</v>
      </c>
      <c r="C83" s="23">
        <v>101</v>
      </c>
      <c r="D83" s="23">
        <v>24724300</v>
      </c>
      <c r="E83" s="23">
        <v>8</v>
      </c>
      <c r="F83" s="23"/>
      <c r="G83" s="23" t="s">
        <v>52</v>
      </c>
      <c r="H83" s="23" t="s">
        <v>226</v>
      </c>
      <c r="I83" s="23"/>
      <c r="J83" s="23"/>
      <c r="K83" s="23" t="s">
        <v>227</v>
      </c>
      <c r="L83" s="23" t="s">
        <v>253</v>
      </c>
      <c r="M83" s="23"/>
      <c r="N83" s="23"/>
      <c r="O83" s="23"/>
      <c r="P83" s="23"/>
      <c r="Q83" s="23"/>
      <c r="R83" s="23"/>
      <c r="S83" s="23" t="s">
        <v>64</v>
      </c>
      <c r="T83" s="23"/>
      <c r="U83" s="23" t="s">
        <v>17</v>
      </c>
      <c r="V83" s="23"/>
      <c r="W83" s="33">
        <v>2.5999999999999999E-2</v>
      </c>
      <c r="Y83" t="s">
        <v>124</v>
      </c>
      <c r="Z83" t="s">
        <v>53</v>
      </c>
      <c r="AA83" t="s">
        <v>51</v>
      </c>
      <c r="AB83" t="s">
        <v>72</v>
      </c>
      <c r="AF83" t="s">
        <v>1437</v>
      </c>
      <c r="AG83" t="s">
        <v>58</v>
      </c>
      <c r="BX83" t="s">
        <v>1713</v>
      </c>
      <c r="BY83" t="s">
        <v>1741</v>
      </c>
      <c r="BZ83" t="s">
        <v>1714</v>
      </c>
      <c r="CA83" s="76">
        <v>46242</v>
      </c>
      <c r="CB83" t="s">
        <v>1740</v>
      </c>
    </row>
    <row r="84" spans="1:96" hidden="1">
      <c r="A84" s="32" t="s">
        <v>261</v>
      </c>
      <c r="B84" s="32" t="s">
        <v>83</v>
      </c>
      <c r="C84" s="23">
        <v>102</v>
      </c>
      <c r="D84" s="23">
        <v>24398500</v>
      </c>
      <c r="E84" s="23">
        <v>8</v>
      </c>
      <c r="F84" s="23"/>
      <c r="G84" s="23" t="s">
        <v>52</v>
      </c>
      <c r="H84" s="23" t="s">
        <v>229</v>
      </c>
      <c r="I84" s="23"/>
      <c r="J84" s="23"/>
      <c r="K84" s="23" t="s">
        <v>230</v>
      </c>
      <c r="L84" s="23" t="s">
        <v>253</v>
      </c>
      <c r="M84" s="23"/>
      <c r="N84" s="23"/>
      <c r="O84" s="23"/>
      <c r="P84" s="23"/>
      <c r="Q84" s="23"/>
      <c r="R84" s="23"/>
      <c r="S84" s="23" t="s">
        <v>64</v>
      </c>
      <c r="T84" s="23"/>
      <c r="U84" s="23" t="s">
        <v>17</v>
      </c>
      <c r="V84" s="23"/>
      <c r="W84" s="33">
        <v>7.0000000000000001E-3</v>
      </c>
      <c r="Y84" t="s">
        <v>124</v>
      </c>
      <c r="Z84" t="s">
        <v>53</v>
      </c>
      <c r="AA84" t="s">
        <v>51</v>
      </c>
      <c r="AB84" t="s">
        <v>72</v>
      </c>
      <c r="AF84" t="s">
        <v>1437</v>
      </c>
      <c r="AG84" t="s">
        <v>58</v>
      </c>
      <c r="BX84" t="s">
        <v>1717</v>
      </c>
      <c r="BY84" t="s">
        <v>229</v>
      </c>
      <c r="BZ84" t="s">
        <v>1718</v>
      </c>
      <c r="CA84">
        <v>8</v>
      </c>
      <c r="CB84" t="s">
        <v>1740</v>
      </c>
    </row>
    <row r="85" spans="1:96" hidden="1">
      <c r="A85" s="32" t="s">
        <v>262</v>
      </c>
      <c r="B85" s="32" t="s">
        <v>83</v>
      </c>
      <c r="C85" s="23">
        <v>103</v>
      </c>
      <c r="D85" s="23">
        <v>2600700</v>
      </c>
      <c r="E85" s="23">
        <v>16</v>
      </c>
      <c r="F85" s="23"/>
      <c r="G85" s="23" t="s">
        <v>52</v>
      </c>
      <c r="H85" s="23"/>
      <c r="I85" s="23"/>
      <c r="J85" s="23"/>
      <c r="K85" s="23" t="s">
        <v>263</v>
      </c>
      <c r="L85" s="23" t="s">
        <v>253</v>
      </c>
      <c r="M85" s="23"/>
      <c r="N85" s="23"/>
      <c r="O85" s="23"/>
      <c r="P85" s="23"/>
      <c r="Q85" s="23"/>
      <c r="R85" s="23"/>
      <c r="S85" s="23" t="s">
        <v>64</v>
      </c>
      <c r="T85" s="23"/>
      <c r="U85" s="23" t="s">
        <v>17</v>
      </c>
      <c r="V85" s="23"/>
      <c r="W85" s="33">
        <v>3.0000000000000001E-3</v>
      </c>
      <c r="Y85" t="s">
        <v>124</v>
      </c>
      <c r="Z85" t="s">
        <v>53</v>
      </c>
      <c r="AA85" t="s">
        <v>51</v>
      </c>
      <c r="AB85" t="s">
        <v>72</v>
      </c>
      <c r="AF85" t="s">
        <v>1437</v>
      </c>
      <c r="AG85" t="s">
        <v>58</v>
      </c>
      <c r="BX85" t="s">
        <v>1719</v>
      </c>
      <c r="BY85" t="s">
        <v>229</v>
      </c>
      <c r="BZ85" t="s">
        <v>1748</v>
      </c>
      <c r="CA85" t="s">
        <v>1749</v>
      </c>
      <c r="CB85" t="s">
        <v>1715</v>
      </c>
      <c r="CC85" t="s">
        <v>1716</v>
      </c>
    </row>
    <row r="86" spans="1:96" hidden="1">
      <c r="A86" s="29" t="s">
        <v>264</v>
      </c>
      <c r="B86" s="29" t="s">
        <v>79</v>
      </c>
      <c r="C86" s="30">
        <v>10</v>
      </c>
      <c r="D86" s="30" t="s">
        <v>265</v>
      </c>
      <c r="E86" s="30">
        <v>1</v>
      </c>
      <c r="F86" s="30"/>
      <c r="G86" s="30" t="s">
        <v>52</v>
      </c>
      <c r="H86" s="30"/>
      <c r="I86" s="30"/>
      <c r="J86" s="30"/>
      <c r="K86" s="30" t="s">
        <v>266</v>
      </c>
      <c r="L86" s="30" t="s">
        <v>267</v>
      </c>
      <c r="M86" s="30">
        <v>3</v>
      </c>
      <c r="N86" s="30">
        <v>0</v>
      </c>
      <c r="O86" s="23"/>
      <c r="P86" s="23"/>
      <c r="Q86" s="23"/>
      <c r="R86" s="23"/>
      <c r="S86" s="23" t="s">
        <v>64</v>
      </c>
      <c r="T86" s="23"/>
      <c r="U86" s="23" t="s">
        <v>54</v>
      </c>
      <c r="V86" s="23"/>
      <c r="W86" s="31">
        <v>0.32700000000000001</v>
      </c>
      <c r="Y86" t="s">
        <v>40</v>
      </c>
      <c r="Z86" t="s">
        <v>53</v>
      </c>
      <c r="AA86" t="s">
        <v>51</v>
      </c>
      <c r="AB86" t="s">
        <v>72</v>
      </c>
      <c r="AC86" t="s">
        <v>1420</v>
      </c>
      <c r="AF86" t="s">
        <v>1437</v>
      </c>
      <c r="AG86" t="s">
        <v>58</v>
      </c>
      <c r="BX86" t="s">
        <v>266</v>
      </c>
    </row>
    <row r="87" spans="1:96" hidden="1">
      <c r="A87" s="32" t="s">
        <v>268</v>
      </c>
      <c r="B87" s="32" t="s">
        <v>83</v>
      </c>
      <c r="C87" s="23">
        <v>2</v>
      </c>
      <c r="D87" s="23">
        <v>3670100</v>
      </c>
      <c r="E87" s="23">
        <v>1</v>
      </c>
      <c r="F87" s="23">
        <v>1.2999999999999999E-2</v>
      </c>
      <c r="G87" s="23" t="s">
        <v>89</v>
      </c>
      <c r="H87" s="23">
        <v>123</v>
      </c>
      <c r="I87" s="23" t="s">
        <v>85</v>
      </c>
      <c r="J87" s="23">
        <v>109</v>
      </c>
      <c r="K87" s="23" t="s">
        <v>188</v>
      </c>
      <c r="L87" s="23" t="s">
        <v>267</v>
      </c>
      <c r="M87" s="23"/>
      <c r="N87" s="23"/>
      <c r="O87" s="23"/>
      <c r="P87" s="23"/>
      <c r="Q87" s="23"/>
      <c r="R87" s="23"/>
      <c r="S87" s="23" t="s">
        <v>64</v>
      </c>
      <c r="T87" s="23"/>
      <c r="U87" s="23" t="s">
        <v>87</v>
      </c>
      <c r="V87" s="23"/>
      <c r="W87" s="33">
        <v>0</v>
      </c>
      <c r="Y87" t="s">
        <v>161</v>
      </c>
      <c r="Z87" t="s">
        <v>53</v>
      </c>
      <c r="AA87" t="s">
        <v>51</v>
      </c>
      <c r="AB87" t="s">
        <v>72</v>
      </c>
      <c r="AC87" t="s">
        <v>1420</v>
      </c>
      <c r="AF87" t="s">
        <v>1437</v>
      </c>
      <c r="AG87" t="s">
        <v>58</v>
      </c>
      <c r="AI87" t="str">
        <f>BY87&amp;"_"&amp;CB87&amp;"_"&amp;L87&amp;"_p"&amp;C87&amp;"_"&amp;E87&amp;"st_"&amp;AK87&amp;"_"&amp;RIGHT(AG87,4)&amp;"_"&amp;AL87</f>
        <v>5_S235_SL40034912_p2_1st__2050_</v>
      </c>
      <c r="AM87" t="s">
        <v>1673</v>
      </c>
      <c r="AZ87" s="64" t="s">
        <v>1491</v>
      </c>
      <c r="BA87" s="64" t="s">
        <v>1492</v>
      </c>
      <c r="BX87" t="s">
        <v>1691</v>
      </c>
      <c r="BY87">
        <v>5</v>
      </c>
      <c r="BZ87" t="s">
        <v>1692</v>
      </c>
      <c r="CA87" t="s">
        <v>1693</v>
      </c>
      <c r="CB87" t="s">
        <v>1895</v>
      </c>
      <c r="CG87">
        <v>5</v>
      </c>
      <c r="CH87" t="s">
        <v>1895</v>
      </c>
      <c r="CI87" t="s">
        <v>267</v>
      </c>
      <c r="CJ87" t="s">
        <v>1901</v>
      </c>
      <c r="CK87" t="s">
        <v>1902</v>
      </c>
      <c r="CL87" t="s">
        <v>1903</v>
      </c>
      <c r="CM87">
        <v>3902</v>
      </c>
      <c r="CN87" t="s">
        <v>54</v>
      </c>
      <c r="CO87">
        <v>3</v>
      </c>
      <c r="CR87" t="s">
        <v>1968</v>
      </c>
    </row>
    <row r="88" spans="1:96" hidden="1">
      <c r="A88" s="29" t="s">
        <v>269</v>
      </c>
      <c r="B88" s="29" t="s">
        <v>79</v>
      </c>
      <c r="C88" s="30">
        <v>11</v>
      </c>
      <c r="D88" s="30" t="s">
        <v>267</v>
      </c>
      <c r="E88" s="30">
        <v>1</v>
      </c>
      <c r="F88" s="30"/>
      <c r="G88" s="30" t="s">
        <v>52</v>
      </c>
      <c r="H88" s="30"/>
      <c r="I88" s="30"/>
      <c r="J88" s="30"/>
      <c r="K88" s="30" t="s">
        <v>266</v>
      </c>
      <c r="L88" s="30" t="s">
        <v>267</v>
      </c>
      <c r="M88" s="30">
        <v>3</v>
      </c>
      <c r="N88" s="30">
        <v>0</v>
      </c>
      <c r="O88" s="23"/>
      <c r="P88" s="23"/>
      <c r="Q88" s="23"/>
      <c r="R88" s="23"/>
      <c r="S88" s="23" t="s">
        <v>64</v>
      </c>
      <c r="T88" s="23"/>
      <c r="U88" s="23" t="s">
        <v>54</v>
      </c>
      <c r="V88" s="23"/>
      <c r="W88" s="31">
        <v>0.32700000000000001</v>
      </c>
      <c r="Y88" t="s">
        <v>40</v>
      </c>
      <c r="Z88" t="s">
        <v>53</v>
      </c>
      <c r="AA88" t="s">
        <v>51</v>
      </c>
      <c r="AB88" t="s">
        <v>72</v>
      </c>
      <c r="AC88" t="s">
        <v>1420</v>
      </c>
      <c r="AF88" t="s">
        <v>1437</v>
      </c>
      <c r="AG88" t="s">
        <v>58</v>
      </c>
      <c r="BX88" t="s">
        <v>266</v>
      </c>
    </row>
    <row r="89" spans="1:96" hidden="1">
      <c r="A89" s="32" t="s">
        <v>270</v>
      </c>
      <c r="B89" s="32" t="s">
        <v>83</v>
      </c>
      <c r="C89" s="23">
        <v>1</v>
      </c>
      <c r="D89" s="23">
        <v>3670100</v>
      </c>
      <c r="E89" s="23">
        <v>1</v>
      </c>
      <c r="F89" s="23">
        <v>1.2999999999999999E-2</v>
      </c>
      <c r="G89" s="23" t="s">
        <v>89</v>
      </c>
      <c r="H89" s="23">
        <v>123</v>
      </c>
      <c r="I89" s="23" t="s">
        <v>85</v>
      </c>
      <c r="J89" s="23">
        <v>109</v>
      </c>
      <c r="K89" s="23" t="s">
        <v>188</v>
      </c>
      <c r="L89" s="23" t="s">
        <v>267</v>
      </c>
      <c r="M89" s="23"/>
      <c r="N89" s="23"/>
      <c r="O89" s="23"/>
      <c r="P89" s="23"/>
      <c r="Q89" s="23"/>
      <c r="R89" s="23"/>
      <c r="S89" s="23" t="s">
        <v>64</v>
      </c>
      <c r="T89" s="23"/>
      <c r="U89" s="23" t="s">
        <v>87</v>
      </c>
      <c r="V89" s="23"/>
      <c r="W89" s="33">
        <v>0</v>
      </c>
      <c r="Y89" t="s">
        <v>161</v>
      </c>
      <c r="Z89" t="s">
        <v>53</v>
      </c>
      <c r="AA89" t="s">
        <v>51</v>
      </c>
      <c r="AB89" t="s">
        <v>72</v>
      </c>
      <c r="AC89" t="s">
        <v>1420</v>
      </c>
      <c r="AF89" t="s">
        <v>1437</v>
      </c>
      <c r="AG89" t="s">
        <v>58</v>
      </c>
      <c r="AI89" t="str">
        <f>BY89&amp;"_"&amp;CB89&amp;"_"&amp;L89&amp;"_p"&amp;C89&amp;"_"&amp;E89&amp;"st_"&amp;AK89&amp;"_"&amp;RIGHT(AG89,4)&amp;"_"&amp;AL89</f>
        <v>5_S235_SL40034912_p1_1st__2050_</v>
      </c>
      <c r="AM89" t="s">
        <v>1673</v>
      </c>
      <c r="AZ89" s="64" t="s">
        <v>1493</v>
      </c>
      <c r="BA89" s="64" t="s">
        <v>1494</v>
      </c>
      <c r="BX89" t="s">
        <v>1691</v>
      </c>
      <c r="BY89">
        <v>5</v>
      </c>
      <c r="BZ89" t="s">
        <v>1692</v>
      </c>
      <c r="CA89" t="s">
        <v>1693</v>
      </c>
      <c r="CB89" t="s">
        <v>1895</v>
      </c>
      <c r="CG89">
        <v>5</v>
      </c>
      <c r="CH89" t="s">
        <v>1895</v>
      </c>
      <c r="CI89" t="s">
        <v>267</v>
      </c>
      <c r="CJ89" t="s">
        <v>1898</v>
      </c>
      <c r="CK89" t="s">
        <v>1902</v>
      </c>
      <c r="CL89" t="s">
        <v>1903</v>
      </c>
      <c r="CM89">
        <v>3902</v>
      </c>
      <c r="CN89" t="s">
        <v>1910</v>
      </c>
      <c r="CO89">
        <v>3</v>
      </c>
      <c r="CR89" t="s">
        <v>1969</v>
      </c>
    </row>
    <row r="90" spans="1:96" hidden="1">
      <c r="A90" s="32" t="s">
        <v>271</v>
      </c>
      <c r="B90" s="32" t="s">
        <v>79</v>
      </c>
      <c r="C90" s="23">
        <v>101</v>
      </c>
      <c r="D90" s="23">
        <v>24379100</v>
      </c>
      <c r="E90" s="23">
        <v>16</v>
      </c>
      <c r="F90" s="23"/>
      <c r="G90" s="23" t="s">
        <v>52</v>
      </c>
      <c r="H90" s="23" t="s">
        <v>272</v>
      </c>
      <c r="I90" s="23"/>
      <c r="J90" s="23"/>
      <c r="K90" s="23" t="s">
        <v>273</v>
      </c>
      <c r="L90" s="23" t="s">
        <v>267</v>
      </c>
      <c r="M90" s="23"/>
      <c r="N90" s="23"/>
      <c r="O90" s="23"/>
      <c r="P90" s="23"/>
      <c r="Q90" s="23"/>
      <c r="R90" s="23"/>
      <c r="S90" s="23" t="s">
        <v>64</v>
      </c>
      <c r="T90" s="23"/>
      <c r="U90" s="23" t="s">
        <v>17</v>
      </c>
      <c r="V90" s="23"/>
      <c r="W90" s="33">
        <v>4.1000000000000002E-2</v>
      </c>
      <c r="Y90" t="s">
        <v>124</v>
      </c>
      <c r="Z90" t="s">
        <v>53</v>
      </c>
      <c r="AA90" t="s">
        <v>51</v>
      </c>
      <c r="AB90" t="s">
        <v>72</v>
      </c>
      <c r="AF90" t="s">
        <v>1437</v>
      </c>
      <c r="AG90" t="s">
        <v>58</v>
      </c>
      <c r="BX90" t="s">
        <v>1713</v>
      </c>
      <c r="BY90" t="s">
        <v>272</v>
      </c>
      <c r="BZ90" t="s">
        <v>1714</v>
      </c>
      <c r="CA90" s="76">
        <v>46242</v>
      </c>
      <c r="CB90" t="s">
        <v>1715</v>
      </c>
      <c r="CC90" t="s">
        <v>1716</v>
      </c>
    </row>
    <row r="91" spans="1:96" hidden="1">
      <c r="A91" s="32" t="s">
        <v>274</v>
      </c>
      <c r="B91" s="32" t="s">
        <v>79</v>
      </c>
      <c r="C91" s="23">
        <v>102</v>
      </c>
      <c r="D91" s="23">
        <v>24707900</v>
      </c>
      <c r="E91" s="23">
        <v>26</v>
      </c>
      <c r="F91" s="23"/>
      <c r="G91" s="23" t="s">
        <v>52</v>
      </c>
      <c r="H91" s="23" t="s">
        <v>275</v>
      </c>
      <c r="I91" s="23"/>
      <c r="J91" s="23"/>
      <c r="K91" s="23" t="s">
        <v>276</v>
      </c>
      <c r="L91" s="23" t="s">
        <v>267</v>
      </c>
      <c r="M91" s="23"/>
      <c r="N91" s="23"/>
      <c r="O91" s="23"/>
      <c r="P91" s="23"/>
      <c r="Q91" s="23"/>
      <c r="R91" s="23"/>
      <c r="S91" s="23" t="s">
        <v>64</v>
      </c>
      <c r="T91" s="23"/>
      <c r="U91" s="23" t="s">
        <v>17</v>
      </c>
      <c r="V91" s="23"/>
      <c r="W91" s="33">
        <v>1.7000000000000001E-2</v>
      </c>
      <c r="Y91" t="s">
        <v>124</v>
      </c>
      <c r="Z91" t="s">
        <v>53</v>
      </c>
      <c r="AA91" t="s">
        <v>51</v>
      </c>
      <c r="AB91" t="s">
        <v>72</v>
      </c>
      <c r="AF91" t="s">
        <v>1437</v>
      </c>
      <c r="AG91" t="s">
        <v>58</v>
      </c>
      <c r="BX91" t="s">
        <v>1717</v>
      </c>
      <c r="BY91" t="s">
        <v>275</v>
      </c>
      <c r="BZ91" t="s">
        <v>1718</v>
      </c>
      <c r="CA91">
        <v>8</v>
      </c>
      <c r="CB91" t="s">
        <v>1715</v>
      </c>
      <c r="CC91" t="s">
        <v>1716</v>
      </c>
    </row>
    <row r="92" spans="1:96" hidden="1">
      <c r="A92" s="32" t="s">
        <v>277</v>
      </c>
      <c r="B92" s="32" t="s">
        <v>79</v>
      </c>
      <c r="C92" s="23">
        <v>103</v>
      </c>
      <c r="D92" s="23">
        <v>24484200</v>
      </c>
      <c r="E92" s="23">
        <v>52</v>
      </c>
      <c r="F92" s="23"/>
      <c r="G92" s="23" t="s">
        <v>52</v>
      </c>
      <c r="H92" s="23">
        <v>13</v>
      </c>
      <c r="I92" s="23"/>
      <c r="J92" s="23"/>
      <c r="K92" s="23" t="s">
        <v>278</v>
      </c>
      <c r="L92" s="23" t="s">
        <v>267</v>
      </c>
      <c r="M92" s="23"/>
      <c r="N92" s="23"/>
      <c r="O92" s="23"/>
      <c r="P92" s="23"/>
      <c r="Q92" s="23"/>
      <c r="R92" s="23"/>
      <c r="S92" s="23" t="s">
        <v>64</v>
      </c>
      <c r="T92" s="23"/>
      <c r="U92" s="23" t="s">
        <v>17</v>
      </c>
      <c r="V92" s="23"/>
      <c r="W92" s="33">
        <v>0.01</v>
      </c>
      <c r="Y92" t="s">
        <v>124</v>
      </c>
      <c r="Z92" t="s">
        <v>53</v>
      </c>
      <c r="AA92" t="s">
        <v>51</v>
      </c>
      <c r="AB92" t="s">
        <v>72</v>
      </c>
      <c r="AF92" t="s">
        <v>1437</v>
      </c>
      <c r="AG92" t="s">
        <v>58</v>
      </c>
      <c r="BX92" t="s">
        <v>1719</v>
      </c>
      <c r="BY92">
        <v>13</v>
      </c>
      <c r="BZ92" t="s">
        <v>763</v>
      </c>
      <c r="CA92" t="s">
        <v>1720</v>
      </c>
      <c r="CB92" t="s">
        <v>1721</v>
      </c>
    </row>
    <row r="93" spans="1:96" hidden="1">
      <c r="A93" s="32" t="s">
        <v>279</v>
      </c>
      <c r="B93" s="32" t="s">
        <v>79</v>
      </c>
      <c r="C93" s="23">
        <v>104</v>
      </c>
      <c r="D93" s="23">
        <v>2346300</v>
      </c>
      <c r="E93" s="23">
        <v>8</v>
      </c>
      <c r="F93" s="23"/>
      <c r="G93" s="23" t="s">
        <v>52</v>
      </c>
      <c r="H93" s="23" t="s">
        <v>280</v>
      </c>
      <c r="I93" s="23"/>
      <c r="J93" s="23"/>
      <c r="K93" s="23" t="s">
        <v>281</v>
      </c>
      <c r="L93" s="23" t="s">
        <v>267</v>
      </c>
      <c r="M93" s="23"/>
      <c r="N93" s="23"/>
      <c r="O93" s="23"/>
      <c r="P93" s="23"/>
      <c r="Q93" s="23"/>
      <c r="R93" s="23"/>
      <c r="S93" s="23" t="s">
        <v>64</v>
      </c>
      <c r="T93" s="23"/>
      <c r="U93" s="23" t="s">
        <v>17</v>
      </c>
      <c r="V93" s="23"/>
      <c r="W93" s="33">
        <v>0.04</v>
      </c>
      <c r="Y93" t="s">
        <v>124</v>
      </c>
      <c r="Z93" t="s">
        <v>53</v>
      </c>
      <c r="AA93" t="s">
        <v>51</v>
      </c>
      <c r="AB93" t="s">
        <v>72</v>
      </c>
      <c r="AF93" t="s">
        <v>1437</v>
      </c>
      <c r="AG93" t="s">
        <v>58</v>
      </c>
      <c r="BX93" t="s">
        <v>1713</v>
      </c>
      <c r="BY93" t="s">
        <v>280</v>
      </c>
      <c r="BZ93" t="s">
        <v>1714</v>
      </c>
      <c r="CA93" s="76">
        <v>46178</v>
      </c>
      <c r="CB93" t="s">
        <v>1740</v>
      </c>
    </row>
    <row r="94" spans="1:96" hidden="1">
      <c r="A94" s="32" t="s">
        <v>282</v>
      </c>
      <c r="B94" s="32" t="s">
        <v>79</v>
      </c>
      <c r="C94" s="23">
        <v>105</v>
      </c>
      <c r="D94" s="23">
        <v>25359500</v>
      </c>
      <c r="E94" s="23">
        <v>2</v>
      </c>
      <c r="F94" s="23"/>
      <c r="G94" s="23" t="s">
        <v>52</v>
      </c>
      <c r="H94" s="23" t="s">
        <v>283</v>
      </c>
      <c r="I94" s="23"/>
      <c r="J94" s="23"/>
      <c r="K94" s="23" t="s">
        <v>284</v>
      </c>
      <c r="L94" s="23" t="s">
        <v>267</v>
      </c>
      <c r="M94" s="23"/>
      <c r="N94" s="23"/>
      <c r="O94" s="23"/>
      <c r="P94" s="23"/>
      <c r="Q94" s="23"/>
      <c r="R94" s="23"/>
      <c r="S94" s="23" t="s">
        <v>64</v>
      </c>
      <c r="T94" s="23"/>
      <c r="U94" s="23" t="s">
        <v>17</v>
      </c>
      <c r="V94" s="23"/>
      <c r="W94" s="33">
        <v>4.8000000000000001E-2</v>
      </c>
      <c r="Y94" t="s">
        <v>124</v>
      </c>
      <c r="Z94" t="s">
        <v>53</v>
      </c>
      <c r="AA94" t="s">
        <v>51</v>
      </c>
      <c r="AB94" t="s">
        <v>72</v>
      </c>
      <c r="AF94" t="s">
        <v>1437</v>
      </c>
      <c r="AG94" t="s">
        <v>58</v>
      </c>
      <c r="BX94" t="s">
        <v>1713</v>
      </c>
      <c r="BY94" t="s">
        <v>283</v>
      </c>
      <c r="BZ94" t="s">
        <v>1714</v>
      </c>
      <c r="CA94" s="76">
        <v>46242</v>
      </c>
      <c r="CB94" t="s">
        <v>1715</v>
      </c>
      <c r="CC94" t="s">
        <v>1716</v>
      </c>
    </row>
    <row r="95" spans="1:96" ht="75" hidden="1" customHeight="1">
      <c r="A95" s="35" t="s">
        <v>285</v>
      </c>
      <c r="B95" s="35" t="s">
        <v>74</v>
      </c>
      <c r="C95" s="36">
        <v>5</v>
      </c>
      <c r="D95" s="36">
        <v>7865200</v>
      </c>
      <c r="E95" s="36">
        <v>1</v>
      </c>
      <c r="F95" s="36"/>
      <c r="G95" s="36" t="s">
        <v>52</v>
      </c>
      <c r="H95" s="36"/>
      <c r="I95" s="36"/>
      <c r="J95" s="36"/>
      <c r="K95" s="37" t="s">
        <v>286</v>
      </c>
      <c r="L95" s="36" t="s">
        <v>267</v>
      </c>
      <c r="M95" s="36"/>
      <c r="N95" s="36"/>
      <c r="O95" s="36"/>
      <c r="P95" s="36"/>
      <c r="Q95" s="36"/>
      <c r="R95" s="36"/>
      <c r="S95" s="36" t="s">
        <v>64</v>
      </c>
      <c r="T95" s="36"/>
      <c r="U95" s="36" t="s">
        <v>17</v>
      </c>
      <c r="V95" s="36"/>
      <c r="W95" s="38">
        <v>33.277999999999999</v>
      </c>
      <c r="X95" s="39"/>
      <c r="Y95" t="s">
        <v>287</v>
      </c>
      <c r="Z95" t="s">
        <v>53</v>
      </c>
      <c r="AA95" t="s">
        <v>51</v>
      </c>
      <c r="AB95" t="s">
        <v>72</v>
      </c>
      <c r="AF95" t="s">
        <v>1437</v>
      </c>
      <c r="AG95" t="s">
        <v>58</v>
      </c>
      <c r="BX95" t="s">
        <v>1750</v>
      </c>
    </row>
    <row r="96" spans="1:96" ht="75" hidden="1" customHeight="1">
      <c r="A96" s="35" t="s">
        <v>288</v>
      </c>
      <c r="B96" s="35" t="s">
        <v>74</v>
      </c>
      <c r="C96" s="36">
        <v>6</v>
      </c>
      <c r="D96" s="36">
        <v>7866200</v>
      </c>
      <c r="E96" s="36">
        <v>1</v>
      </c>
      <c r="F96" s="36"/>
      <c r="G96" s="36" t="s">
        <v>52</v>
      </c>
      <c r="H96" s="36"/>
      <c r="I96" s="36"/>
      <c r="J96" s="36"/>
      <c r="K96" s="37" t="s">
        <v>289</v>
      </c>
      <c r="L96" s="36" t="s">
        <v>267</v>
      </c>
      <c r="M96" s="36"/>
      <c r="N96" s="36"/>
      <c r="O96" s="36"/>
      <c r="P96" s="36"/>
      <c r="Q96" s="36"/>
      <c r="R96" s="36"/>
      <c r="S96" s="36" t="s">
        <v>64</v>
      </c>
      <c r="T96" s="36"/>
      <c r="U96" s="36" t="s">
        <v>17</v>
      </c>
      <c r="V96" s="36"/>
      <c r="W96" s="38">
        <v>36.393999999999998</v>
      </c>
      <c r="X96" s="39"/>
      <c r="Y96" t="s">
        <v>287</v>
      </c>
      <c r="Z96" t="s">
        <v>53</v>
      </c>
      <c r="AA96" t="s">
        <v>51</v>
      </c>
      <c r="AB96" t="s">
        <v>72</v>
      </c>
      <c r="AF96" t="s">
        <v>1437</v>
      </c>
      <c r="AG96" t="s">
        <v>58</v>
      </c>
      <c r="BX96" t="s">
        <v>1751</v>
      </c>
    </row>
    <row r="97" spans="1:97" hidden="1">
      <c r="A97" s="29" t="s">
        <v>290</v>
      </c>
      <c r="B97" s="29" t="s">
        <v>74</v>
      </c>
      <c r="C97" s="30">
        <v>8</v>
      </c>
      <c r="D97" s="30" t="s">
        <v>291</v>
      </c>
      <c r="E97" s="30">
        <v>1</v>
      </c>
      <c r="F97" s="30"/>
      <c r="G97" s="30" t="s">
        <v>52</v>
      </c>
      <c r="H97" s="30"/>
      <c r="I97" s="30"/>
      <c r="J97" s="30"/>
      <c r="K97" s="30" t="s">
        <v>292</v>
      </c>
      <c r="L97" s="30" t="s">
        <v>291</v>
      </c>
      <c r="M97" s="30">
        <v>2</v>
      </c>
      <c r="N97" s="30"/>
      <c r="O97" s="23"/>
      <c r="P97" s="23"/>
      <c r="Q97" s="23"/>
      <c r="R97" s="23"/>
      <c r="S97" s="23" t="s">
        <v>64</v>
      </c>
      <c r="T97" s="23"/>
      <c r="U97" s="23" t="s">
        <v>54</v>
      </c>
      <c r="V97" s="23"/>
      <c r="W97" s="31">
        <v>73.5</v>
      </c>
      <c r="Y97" t="s">
        <v>40</v>
      </c>
      <c r="Z97" t="s">
        <v>53</v>
      </c>
      <c r="AA97" t="s">
        <v>51</v>
      </c>
      <c r="AB97" t="s">
        <v>72</v>
      </c>
      <c r="AF97" t="s">
        <v>1437</v>
      </c>
      <c r="AG97" t="s">
        <v>58</v>
      </c>
      <c r="BX97" t="s">
        <v>292</v>
      </c>
    </row>
    <row r="98" spans="1:97" hidden="1">
      <c r="A98" s="29" t="s">
        <v>293</v>
      </c>
      <c r="B98" s="29" t="s">
        <v>79</v>
      </c>
      <c r="C98" s="30">
        <v>1</v>
      </c>
      <c r="D98" s="30" t="s">
        <v>294</v>
      </c>
      <c r="E98" s="30">
        <v>1</v>
      </c>
      <c r="F98" s="30"/>
      <c r="G98" s="30" t="s">
        <v>52</v>
      </c>
      <c r="H98" s="30"/>
      <c r="I98" s="30"/>
      <c r="J98" s="30"/>
      <c r="K98" s="30" t="s">
        <v>295</v>
      </c>
      <c r="L98" s="30" t="s">
        <v>294</v>
      </c>
      <c r="M98" s="30">
        <v>2</v>
      </c>
      <c r="N98" s="30">
        <v>0</v>
      </c>
      <c r="O98" s="23"/>
      <c r="P98" s="23"/>
      <c r="Q98" s="23"/>
      <c r="R98" s="23"/>
      <c r="S98" s="23" t="s">
        <v>64</v>
      </c>
      <c r="T98" s="23"/>
      <c r="U98" s="23" t="s">
        <v>54</v>
      </c>
      <c r="V98" s="23"/>
      <c r="W98" s="31">
        <v>10.039</v>
      </c>
      <c r="Y98" t="s">
        <v>40</v>
      </c>
      <c r="Z98" t="s">
        <v>53</v>
      </c>
      <c r="AA98" t="s">
        <v>51</v>
      </c>
      <c r="AB98" t="s">
        <v>72</v>
      </c>
      <c r="AC98" t="s">
        <v>1420</v>
      </c>
      <c r="AF98" t="s">
        <v>1437</v>
      </c>
      <c r="AG98" t="s">
        <v>58</v>
      </c>
      <c r="BX98" t="s">
        <v>295</v>
      </c>
    </row>
    <row r="99" spans="1:97" hidden="1">
      <c r="A99" s="32" t="s">
        <v>296</v>
      </c>
      <c r="B99" s="32" t="s">
        <v>83</v>
      </c>
      <c r="C99" s="23">
        <v>1</v>
      </c>
      <c r="D99" s="23">
        <v>3670100</v>
      </c>
      <c r="E99" s="23">
        <v>1</v>
      </c>
      <c r="F99" s="23">
        <v>0.32200000000000001</v>
      </c>
      <c r="G99" s="23" t="s">
        <v>89</v>
      </c>
      <c r="H99" s="23">
        <v>423</v>
      </c>
      <c r="I99" s="23" t="s">
        <v>85</v>
      </c>
      <c r="J99" s="23">
        <v>761</v>
      </c>
      <c r="K99" s="23" t="s">
        <v>188</v>
      </c>
      <c r="L99" s="23" t="s">
        <v>294</v>
      </c>
      <c r="M99" s="23"/>
      <c r="N99" s="23"/>
      <c r="O99" s="23"/>
      <c r="P99" s="23"/>
      <c r="Q99" s="23"/>
      <c r="R99" s="23"/>
      <c r="S99" s="23" t="s">
        <v>64</v>
      </c>
      <c r="T99" s="23"/>
      <c r="U99" s="23" t="s">
        <v>87</v>
      </c>
      <c r="V99" s="23"/>
      <c r="W99" s="33">
        <v>0</v>
      </c>
      <c r="Y99" t="s">
        <v>161</v>
      </c>
      <c r="Z99" t="s">
        <v>53</v>
      </c>
      <c r="AA99" t="s">
        <v>51</v>
      </c>
      <c r="AB99" t="s">
        <v>72</v>
      </c>
      <c r="AC99" t="s">
        <v>1420</v>
      </c>
      <c r="AF99" t="s">
        <v>1437</v>
      </c>
      <c r="AG99" t="s">
        <v>58</v>
      </c>
      <c r="AI99" t="str">
        <f t="shared" ref="AI99:AI101" si="12">BY99&amp;"_"&amp;CB99&amp;"_"&amp;L99&amp;"_p"&amp;C99&amp;"_"&amp;E99&amp;"st_"&amp;AK99&amp;"_"&amp;RIGHT(AG99,4)&amp;"_"&amp;AL99</f>
        <v>5_S235_SL40038124_p1_1st__2050_</v>
      </c>
      <c r="AJ99" t="s">
        <v>1430</v>
      </c>
      <c r="AM99" t="s">
        <v>1673</v>
      </c>
      <c r="AZ99" s="64" t="s">
        <v>1495</v>
      </c>
      <c r="BA99" s="64" t="s">
        <v>1496</v>
      </c>
      <c r="BX99" t="s">
        <v>1691</v>
      </c>
      <c r="BY99">
        <v>5</v>
      </c>
      <c r="BZ99" t="s">
        <v>1692</v>
      </c>
      <c r="CA99" t="s">
        <v>1693</v>
      </c>
      <c r="CB99" t="s">
        <v>1895</v>
      </c>
      <c r="CG99">
        <v>5</v>
      </c>
      <c r="CH99" t="s">
        <v>1895</v>
      </c>
      <c r="CI99" t="s">
        <v>294</v>
      </c>
      <c r="CJ99" t="s">
        <v>1898</v>
      </c>
      <c r="CK99" t="s">
        <v>1902</v>
      </c>
      <c r="CL99" t="s">
        <v>1903</v>
      </c>
      <c r="CM99">
        <v>3902</v>
      </c>
      <c r="CN99" t="s">
        <v>1910</v>
      </c>
      <c r="CR99" t="s">
        <v>1970</v>
      </c>
      <c r="CS99" t="s">
        <v>1430</v>
      </c>
    </row>
    <row r="100" spans="1:97" hidden="1">
      <c r="A100" s="32" t="s">
        <v>297</v>
      </c>
      <c r="B100" s="32" t="s">
        <v>83</v>
      </c>
      <c r="C100" s="23">
        <v>3</v>
      </c>
      <c r="D100" s="23">
        <v>3670100</v>
      </c>
      <c r="E100" s="23">
        <v>1</v>
      </c>
      <c r="F100" s="23">
        <v>5.0000000000000001E-3</v>
      </c>
      <c r="G100" s="23" t="s">
        <v>89</v>
      </c>
      <c r="H100" s="23">
        <v>98</v>
      </c>
      <c r="I100" s="23" t="s">
        <v>85</v>
      </c>
      <c r="J100" s="23">
        <v>44.5</v>
      </c>
      <c r="K100" s="23" t="s">
        <v>188</v>
      </c>
      <c r="L100" s="23" t="s">
        <v>294</v>
      </c>
      <c r="M100" s="23"/>
      <c r="N100" s="23"/>
      <c r="O100" s="23"/>
      <c r="P100" s="23"/>
      <c r="Q100" s="23"/>
      <c r="R100" s="23"/>
      <c r="S100" s="23" t="s">
        <v>64</v>
      </c>
      <c r="T100" s="23"/>
      <c r="U100" s="23" t="s">
        <v>87</v>
      </c>
      <c r="V100" s="23"/>
      <c r="W100" s="33">
        <v>0</v>
      </c>
      <c r="Y100" t="s">
        <v>161</v>
      </c>
      <c r="Z100" t="s">
        <v>53</v>
      </c>
      <c r="AA100" t="s">
        <v>51</v>
      </c>
      <c r="AB100" t="s">
        <v>72</v>
      </c>
      <c r="AC100" t="s">
        <v>1420</v>
      </c>
      <c r="AF100" t="s">
        <v>1437</v>
      </c>
      <c r="AG100" t="s">
        <v>58</v>
      </c>
      <c r="AI100" t="str">
        <f t="shared" si="12"/>
        <v>5_S235_SL40038124_p3_1st__2050_</v>
      </c>
      <c r="AM100" t="s">
        <v>1673</v>
      </c>
      <c r="AZ100" s="64" t="s">
        <v>1497</v>
      </c>
      <c r="BA100" s="64" t="s">
        <v>1498</v>
      </c>
      <c r="BX100" t="s">
        <v>1691</v>
      </c>
      <c r="BY100">
        <v>5</v>
      </c>
      <c r="BZ100" t="s">
        <v>1692</v>
      </c>
      <c r="CA100" t="s">
        <v>1693</v>
      </c>
      <c r="CB100" t="s">
        <v>1895</v>
      </c>
      <c r="CG100">
        <v>5</v>
      </c>
      <c r="CH100" t="s">
        <v>1895</v>
      </c>
      <c r="CI100" t="s">
        <v>294</v>
      </c>
      <c r="CJ100" t="s">
        <v>1904</v>
      </c>
      <c r="CK100" t="s">
        <v>1902</v>
      </c>
      <c r="CL100" t="s">
        <v>1903</v>
      </c>
      <c r="CM100">
        <v>3902</v>
      </c>
      <c r="CN100" t="s">
        <v>1910</v>
      </c>
      <c r="CO100">
        <v>2</v>
      </c>
      <c r="CR100" t="s">
        <v>1971</v>
      </c>
    </row>
    <row r="101" spans="1:97" hidden="1">
      <c r="A101" s="32" t="s">
        <v>298</v>
      </c>
      <c r="B101" s="32" t="s">
        <v>83</v>
      </c>
      <c r="C101" s="23">
        <v>4</v>
      </c>
      <c r="D101" s="23">
        <v>3670100</v>
      </c>
      <c r="E101" s="23">
        <v>1</v>
      </c>
      <c r="F101" s="23">
        <v>5.0000000000000001E-3</v>
      </c>
      <c r="G101" s="23" t="s">
        <v>89</v>
      </c>
      <c r="H101" s="23">
        <v>98</v>
      </c>
      <c r="I101" s="23" t="s">
        <v>85</v>
      </c>
      <c r="J101" s="23">
        <v>44.5</v>
      </c>
      <c r="K101" s="23" t="s">
        <v>188</v>
      </c>
      <c r="L101" s="23" t="s">
        <v>294</v>
      </c>
      <c r="M101" s="23"/>
      <c r="N101" s="23"/>
      <c r="O101" s="23"/>
      <c r="P101" s="23"/>
      <c r="Q101" s="23"/>
      <c r="R101" s="23"/>
      <c r="S101" s="23" t="s">
        <v>64</v>
      </c>
      <c r="T101" s="23"/>
      <c r="U101" s="23" t="s">
        <v>87</v>
      </c>
      <c r="V101" s="23"/>
      <c r="W101" s="33">
        <v>0</v>
      </c>
      <c r="Y101" t="s">
        <v>161</v>
      </c>
      <c r="Z101" t="s">
        <v>53</v>
      </c>
      <c r="AA101" t="s">
        <v>51</v>
      </c>
      <c r="AB101" t="s">
        <v>72</v>
      </c>
      <c r="AC101" t="s">
        <v>1420</v>
      </c>
      <c r="AF101" t="s">
        <v>1437</v>
      </c>
      <c r="AG101" t="s">
        <v>58</v>
      </c>
      <c r="AI101" t="str">
        <f t="shared" si="12"/>
        <v>5_S235_SL40038124_p4_1st__2050_</v>
      </c>
      <c r="AM101" t="s">
        <v>1673</v>
      </c>
      <c r="AZ101" s="64" t="s">
        <v>1499</v>
      </c>
      <c r="BA101" s="64" t="s">
        <v>1500</v>
      </c>
      <c r="BX101" t="s">
        <v>1691</v>
      </c>
      <c r="BY101">
        <v>5</v>
      </c>
      <c r="BZ101" t="s">
        <v>1692</v>
      </c>
      <c r="CA101" t="s">
        <v>1693</v>
      </c>
      <c r="CB101" t="s">
        <v>1895</v>
      </c>
      <c r="CG101">
        <v>5</v>
      </c>
      <c r="CH101" t="s">
        <v>1895</v>
      </c>
      <c r="CI101" t="s">
        <v>294</v>
      </c>
      <c r="CJ101" t="s">
        <v>1911</v>
      </c>
      <c r="CK101" t="s">
        <v>1902</v>
      </c>
      <c r="CL101" t="s">
        <v>1903</v>
      </c>
      <c r="CM101">
        <v>3902</v>
      </c>
      <c r="CN101" t="s">
        <v>54</v>
      </c>
      <c r="CO101">
        <v>1</v>
      </c>
      <c r="CR101" t="s">
        <v>1972</v>
      </c>
    </row>
    <row r="102" spans="1:97" hidden="1">
      <c r="A102" s="29" t="s">
        <v>299</v>
      </c>
      <c r="B102" s="29" t="s">
        <v>79</v>
      </c>
      <c r="C102" s="30">
        <v>2</v>
      </c>
      <c r="D102" s="30" t="s">
        <v>300</v>
      </c>
      <c r="E102" s="30">
        <v>1</v>
      </c>
      <c r="F102" s="30"/>
      <c r="G102" s="30" t="s">
        <v>52</v>
      </c>
      <c r="H102" s="30"/>
      <c r="I102" s="30"/>
      <c r="J102" s="30"/>
      <c r="K102" s="30" t="s">
        <v>295</v>
      </c>
      <c r="L102" s="30" t="s">
        <v>294</v>
      </c>
      <c r="M102" s="30">
        <v>2</v>
      </c>
      <c r="N102" s="30">
        <v>0</v>
      </c>
      <c r="O102" s="23"/>
      <c r="P102" s="23"/>
      <c r="Q102" s="23"/>
      <c r="R102" s="23"/>
      <c r="S102" s="23" t="s">
        <v>64</v>
      </c>
      <c r="T102" s="23"/>
      <c r="U102" s="23" t="s">
        <v>54</v>
      </c>
      <c r="V102" s="23"/>
      <c r="W102" s="31">
        <v>10.039</v>
      </c>
      <c r="Y102" t="s">
        <v>40</v>
      </c>
      <c r="Z102" t="s">
        <v>53</v>
      </c>
      <c r="AA102" t="s">
        <v>51</v>
      </c>
      <c r="AB102" t="s">
        <v>72</v>
      </c>
      <c r="AC102" t="s">
        <v>1420</v>
      </c>
      <c r="AF102" t="s">
        <v>1437</v>
      </c>
      <c r="AG102" t="s">
        <v>58</v>
      </c>
      <c r="BX102" t="s">
        <v>295</v>
      </c>
    </row>
    <row r="103" spans="1:97" hidden="1">
      <c r="A103" s="32" t="s">
        <v>301</v>
      </c>
      <c r="B103" s="32" t="s">
        <v>83</v>
      </c>
      <c r="C103" s="23">
        <v>2</v>
      </c>
      <c r="D103" s="23">
        <v>3670100</v>
      </c>
      <c r="E103" s="23">
        <v>1</v>
      </c>
      <c r="F103" s="23">
        <v>0.32200000000000001</v>
      </c>
      <c r="G103" s="23" t="s">
        <v>89</v>
      </c>
      <c r="H103" s="23">
        <v>423</v>
      </c>
      <c r="I103" s="23" t="s">
        <v>85</v>
      </c>
      <c r="J103" s="23">
        <v>761</v>
      </c>
      <c r="K103" s="23" t="s">
        <v>188</v>
      </c>
      <c r="L103" s="23" t="s">
        <v>294</v>
      </c>
      <c r="M103" s="23"/>
      <c r="N103" s="23"/>
      <c r="O103" s="23"/>
      <c r="P103" s="23"/>
      <c r="Q103" s="23"/>
      <c r="R103" s="23"/>
      <c r="S103" s="23" t="s">
        <v>64</v>
      </c>
      <c r="T103" s="23"/>
      <c r="U103" s="23" t="s">
        <v>87</v>
      </c>
      <c r="V103" s="23"/>
      <c r="W103" s="33">
        <v>0</v>
      </c>
      <c r="Y103" t="s">
        <v>161</v>
      </c>
      <c r="Z103" t="s">
        <v>53</v>
      </c>
      <c r="AA103" t="s">
        <v>51</v>
      </c>
      <c r="AB103" t="s">
        <v>72</v>
      </c>
      <c r="AC103" t="s">
        <v>1420</v>
      </c>
      <c r="AF103" t="s">
        <v>1437</v>
      </c>
      <c r="AG103" t="s">
        <v>58</v>
      </c>
      <c r="AI103" t="str">
        <f t="shared" ref="AI103:AI105" si="13">BY103&amp;"_"&amp;CB103&amp;"_"&amp;L103&amp;"_p"&amp;C103&amp;"_"&amp;E103&amp;"st_"&amp;AK103&amp;"_"&amp;RIGHT(AG103,4)&amp;"_"&amp;AL103</f>
        <v>5_S235_SL40038124_p2_1st__2050_</v>
      </c>
      <c r="AJ103" t="s">
        <v>1429</v>
      </c>
      <c r="AM103" t="s">
        <v>1673</v>
      </c>
      <c r="AZ103" s="64" t="s">
        <v>1501</v>
      </c>
      <c r="BA103" s="64" t="s">
        <v>1502</v>
      </c>
      <c r="BX103" t="s">
        <v>1691</v>
      </c>
      <c r="BY103">
        <v>5</v>
      </c>
      <c r="BZ103" t="s">
        <v>1692</v>
      </c>
      <c r="CA103" t="s">
        <v>1693</v>
      </c>
      <c r="CB103" t="s">
        <v>1895</v>
      </c>
      <c r="CG103">
        <v>5</v>
      </c>
      <c r="CH103" t="s">
        <v>1895</v>
      </c>
      <c r="CI103" t="s">
        <v>294</v>
      </c>
      <c r="CJ103" t="s">
        <v>1901</v>
      </c>
      <c r="CK103" t="s">
        <v>1902</v>
      </c>
      <c r="CL103" t="s">
        <v>1903</v>
      </c>
      <c r="CM103">
        <v>3902</v>
      </c>
      <c r="CN103" t="s">
        <v>54</v>
      </c>
      <c r="CR103" t="s">
        <v>1973</v>
      </c>
      <c r="CS103" t="s">
        <v>1429</v>
      </c>
    </row>
    <row r="104" spans="1:97" hidden="1">
      <c r="A104" s="32" t="s">
        <v>302</v>
      </c>
      <c r="B104" s="32" t="s">
        <v>83</v>
      </c>
      <c r="C104" s="23">
        <v>3</v>
      </c>
      <c r="D104" s="23">
        <v>3670100</v>
      </c>
      <c r="E104" s="23">
        <v>1</v>
      </c>
      <c r="F104" s="23">
        <v>5.0000000000000001E-3</v>
      </c>
      <c r="G104" s="23" t="s">
        <v>89</v>
      </c>
      <c r="H104" s="23">
        <v>98</v>
      </c>
      <c r="I104" s="23" t="s">
        <v>85</v>
      </c>
      <c r="J104" s="23">
        <v>44.5</v>
      </c>
      <c r="K104" s="23" t="s">
        <v>188</v>
      </c>
      <c r="L104" s="23" t="s">
        <v>294</v>
      </c>
      <c r="M104" s="23"/>
      <c r="N104" s="23"/>
      <c r="O104" s="23"/>
      <c r="P104" s="23"/>
      <c r="Q104" s="23"/>
      <c r="R104" s="23"/>
      <c r="S104" s="23" t="s">
        <v>64</v>
      </c>
      <c r="T104" s="23"/>
      <c r="U104" s="23" t="s">
        <v>87</v>
      </c>
      <c r="V104" s="23"/>
      <c r="W104" s="33">
        <v>0</v>
      </c>
      <c r="Y104" t="s">
        <v>161</v>
      </c>
      <c r="Z104" t="s">
        <v>53</v>
      </c>
      <c r="AA104" t="s">
        <v>51</v>
      </c>
      <c r="AB104" t="s">
        <v>72</v>
      </c>
      <c r="AC104" t="s">
        <v>1420</v>
      </c>
      <c r="AF104" t="s">
        <v>1437</v>
      </c>
      <c r="AG104" t="s">
        <v>58</v>
      </c>
      <c r="AI104" t="str">
        <f t="shared" si="13"/>
        <v>5_S235_SL40038124_p3_1st__2050_</v>
      </c>
      <c r="AM104" t="s">
        <v>1673</v>
      </c>
      <c r="AZ104" s="64" t="s">
        <v>1497</v>
      </c>
      <c r="BA104" s="64" t="s">
        <v>1498</v>
      </c>
      <c r="BX104" t="s">
        <v>1691</v>
      </c>
      <c r="BY104">
        <v>5</v>
      </c>
      <c r="BZ104" t="s">
        <v>1692</v>
      </c>
      <c r="CA104" t="s">
        <v>1693</v>
      </c>
      <c r="CB104" t="s">
        <v>1895</v>
      </c>
      <c r="CG104">
        <v>5</v>
      </c>
      <c r="CH104" t="s">
        <v>1895</v>
      </c>
      <c r="CI104" t="s">
        <v>294</v>
      </c>
      <c r="CJ104" t="s">
        <v>1904</v>
      </c>
      <c r="CK104" t="s">
        <v>1902</v>
      </c>
      <c r="CL104" t="s">
        <v>1903</v>
      </c>
      <c r="CM104">
        <v>3902</v>
      </c>
      <c r="CN104" t="s">
        <v>1910</v>
      </c>
      <c r="CO104">
        <v>2</v>
      </c>
      <c r="CR104" t="s">
        <v>1971</v>
      </c>
    </row>
    <row r="105" spans="1:97" hidden="1">
      <c r="A105" s="32" t="s">
        <v>303</v>
      </c>
      <c r="B105" s="32" t="s">
        <v>83</v>
      </c>
      <c r="C105" s="23">
        <v>4</v>
      </c>
      <c r="D105" s="23">
        <v>3670100</v>
      </c>
      <c r="E105" s="23">
        <v>1</v>
      </c>
      <c r="F105" s="23">
        <v>5.0000000000000001E-3</v>
      </c>
      <c r="G105" s="23" t="s">
        <v>89</v>
      </c>
      <c r="H105" s="23">
        <v>98</v>
      </c>
      <c r="I105" s="23" t="s">
        <v>85</v>
      </c>
      <c r="J105" s="23">
        <v>44.5</v>
      </c>
      <c r="K105" s="23" t="s">
        <v>188</v>
      </c>
      <c r="L105" s="23" t="s">
        <v>294</v>
      </c>
      <c r="M105" s="23"/>
      <c r="N105" s="23"/>
      <c r="O105" s="23"/>
      <c r="P105" s="23"/>
      <c r="Q105" s="23"/>
      <c r="R105" s="23"/>
      <c r="S105" s="23" t="s">
        <v>64</v>
      </c>
      <c r="T105" s="23"/>
      <c r="U105" s="23" t="s">
        <v>87</v>
      </c>
      <c r="V105" s="23"/>
      <c r="W105" s="33">
        <v>0</v>
      </c>
      <c r="Y105" t="s">
        <v>161</v>
      </c>
      <c r="Z105" t="s">
        <v>53</v>
      </c>
      <c r="AA105" t="s">
        <v>51</v>
      </c>
      <c r="AB105" t="s">
        <v>72</v>
      </c>
      <c r="AC105" t="s">
        <v>1420</v>
      </c>
      <c r="AF105" t="s">
        <v>1437</v>
      </c>
      <c r="AG105" t="s">
        <v>58</v>
      </c>
      <c r="AI105" t="str">
        <f t="shared" si="13"/>
        <v>5_S235_SL40038124_p4_1st__2050_</v>
      </c>
      <c r="AM105" t="s">
        <v>1673</v>
      </c>
      <c r="AZ105" s="64" t="s">
        <v>1499</v>
      </c>
      <c r="BA105" s="64" t="s">
        <v>1500</v>
      </c>
      <c r="BX105" t="s">
        <v>1691</v>
      </c>
      <c r="BY105">
        <v>5</v>
      </c>
      <c r="BZ105" t="s">
        <v>1692</v>
      </c>
      <c r="CA105" t="s">
        <v>1693</v>
      </c>
      <c r="CB105" t="s">
        <v>1895</v>
      </c>
      <c r="CG105">
        <v>5</v>
      </c>
      <c r="CH105" t="s">
        <v>1895</v>
      </c>
      <c r="CI105" t="s">
        <v>294</v>
      </c>
      <c r="CJ105" t="s">
        <v>1911</v>
      </c>
      <c r="CK105" t="s">
        <v>1902</v>
      </c>
      <c r="CL105" t="s">
        <v>1903</v>
      </c>
      <c r="CM105">
        <v>3902</v>
      </c>
      <c r="CN105" t="s">
        <v>54</v>
      </c>
      <c r="CO105">
        <v>1</v>
      </c>
      <c r="CR105" t="s">
        <v>1972</v>
      </c>
    </row>
    <row r="106" spans="1:97" hidden="1">
      <c r="A106" s="29" t="s">
        <v>304</v>
      </c>
      <c r="B106" s="29" t="s">
        <v>79</v>
      </c>
      <c r="C106" s="30">
        <v>3</v>
      </c>
      <c r="D106" s="30" t="s">
        <v>305</v>
      </c>
      <c r="E106" s="30">
        <v>1</v>
      </c>
      <c r="F106" s="30"/>
      <c r="G106" s="30" t="s">
        <v>52</v>
      </c>
      <c r="H106" s="30"/>
      <c r="I106" s="30"/>
      <c r="J106" s="30"/>
      <c r="K106" s="30" t="s">
        <v>306</v>
      </c>
      <c r="L106" s="30" t="s">
        <v>305</v>
      </c>
      <c r="M106" s="30">
        <v>3</v>
      </c>
      <c r="N106" s="30"/>
      <c r="O106" s="23"/>
      <c r="P106" s="23"/>
      <c r="Q106" s="23"/>
      <c r="R106" s="23"/>
      <c r="S106" s="23" t="s">
        <v>64</v>
      </c>
      <c r="T106" s="23"/>
      <c r="U106" s="23" t="s">
        <v>54</v>
      </c>
      <c r="V106" s="23"/>
      <c r="W106" s="31">
        <v>32.545999999999999</v>
      </c>
      <c r="Y106" t="s">
        <v>40</v>
      </c>
      <c r="Z106" t="s">
        <v>53</v>
      </c>
      <c r="AA106" t="s">
        <v>51</v>
      </c>
      <c r="AB106" t="s">
        <v>72</v>
      </c>
      <c r="AC106" t="s">
        <v>1420</v>
      </c>
      <c r="AF106" t="s">
        <v>1437</v>
      </c>
      <c r="AG106" t="s">
        <v>58</v>
      </c>
      <c r="BX106" t="s">
        <v>306</v>
      </c>
    </row>
    <row r="107" spans="1:97" hidden="1">
      <c r="A107" s="32" t="s">
        <v>307</v>
      </c>
      <c r="B107" s="32" t="s">
        <v>83</v>
      </c>
      <c r="C107" s="23">
        <v>1</v>
      </c>
      <c r="D107" s="23">
        <v>3740200</v>
      </c>
      <c r="E107" s="23">
        <v>1</v>
      </c>
      <c r="F107" s="23">
        <v>1.056</v>
      </c>
      <c r="G107" s="23" t="s">
        <v>89</v>
      </c>
      <c r="H107" s="23" t="s">
        <v>308</v>
      </c>
      <c r="I107" s="23" t="s">
        <v>85</v>
      </c>
      <c r="J107" s="23">
        <v>782</v>
      </c>
      <c r="K107" s="23" t="s">
        <v>92</v>
      </c>
      <c r="L107" s="23" t="s">
        <v>305</v>
      </c>
      <c r="M107" s="23"/>
      <c r="N107" s="23"/>
      <c r="O107" s="23"/>
      <c r="P107" s="23"/>
      <c r="Q107" s="23"/>
      <c r="R107" s="23"/>
      <c r="S107" s="23" t="s">
        <v>64</v>
      </c>
      <c r="T107" s="23"/>
      <c r="U107" s="23" t="s">
        <v>87</v>
      </c>
      <c r="V107" s="23"/>
      <c r="W107" s="33">
        <v>0</v>
      </c>
      <c r="Y107" t="s">
        <v>161</v>
      </c>
      <c r="Z107" t="s">
        <v>53</v>
      </c>
      <c r="AA107" t="s">
        <v>51</v>
      </c>
      <c r="AB107" t="s">
        <v>72</v>
      </c>
      <c r="AC107" t="s">
        <v>1420</v>
      </c>
      <c r="AF107" t="s">
        <v>1437</v>
      </c>
      <c r="AG107" t="s">
        <v>58</v>
      </c>
      <c r="AI107" t="str">
        <f>BY107&amp;"_"&amp;CB107&amp;"_"&amp;L107&amp;"_p"&amp;C107&amp;"_"&amp;E107&amp;"st_"&amp;AK107&amp;"_"&amp;RIGHT(AG107,4)&amp;"_"&amp;AL107</f>
        <v>4_S235_SL41038033_p1_1st__2050_</v>
      </c>
      <c r="AM107" t="s">
        <v>1673</v>
      </c>
      <c r="AZ107" s="64" t="s">
        <v>1503</v>
      </c>
      <c r="BA107" s="64" t="s">
        <v>1504</v>
      </c>
      <c r="BX107" t="s">
        <v>1691</v>
      </c>
      <c r="BY107">
        <v>4</v>
      </c>
      <c r="BZ107" t="s">
        <v>1692</v>
      </c>
      <c r="CA107" t="s">
        <v>1693</v>
      </c>
      <c r="CB107" t="s">
        <v>1895</v>
      </c>
      <c r="CG107">
        <v>4</v>
      </c>
      <c r="CH107" t="s">
        <v>1895</v>
      </c>
      <c r="CI107" t="s">
        <v>305</v>
      </c>
      <c r="CJ107" t="s">
        <v>1898</v>
      </c>
      <c r="CK107" t="s">
        <v>1914</v>
      </c>
      <c r="CL107" t="s">
        <v>1900</v>
      </c>
      <c r="CM107" t="s">
        <v>1915</v>
      </c>
      <c r="CR107" t="s">
        <v>1974</v>
      </c>
    </row>
    <row r="108" spans="1:97" hidden="1">
      <c r="A108" s="29" t="s">
        <v>309</v>
      </c>
      <c r="B108" s="29" t="s">
        <v>79</v>
      </c>
      <c r="C108" s="30">
        <v>4</v>
      </c>
      <c r="D108" s="30" t="s">
        <v>310</v>
      </c>
      <c r="E108" s="30">
        <v>2</v>
      </c>
      <c r="F108" s="30"/>
      <c r="G108" s="30" t="s">
        <v>52</v>
      </c>
      <c r="H108" s="30"/>
      <c r="I108" s="30"/>
      <c r="J108" s="30"/>
      <c r="K108" s="30" t="s">
        <v>311</v>
      </c>
      <c r="L108" s="30" t="s">
        <v>310</v>
      </c>
      <c r="M108" s="30">
        <v>3</v>
      </c>
      <c r="N108" s="30"/>
      <c r="O108" s="23"/>
      <c r="P108" s="23"/>
      <c r="Q108" s="23"/>
      <c r="R108" s="23"/>
      <c r="S108" s="23" t="s">
        <v>64</v>
      </c>
      <c r="T108" s="23"/>
      <c r="U108" s="23" t="s">
        <v>54</v>
      </c>
      <c r="V108" s="23"/>
      <c r="W108" s="31">
        <v>4.4429999999999996</v>
      </c>
      <c r="Y108" t="s">
        <v>40</v>
      </c>
      <c r="Z108" t="s">
        <v>53</v>
      </c>
      <c r="AA108" t="s">
        <v>51</v>
      </c>
      <c r="AB108" t="s">
        <v>72</v>
      </c>
      <c r="AC108" t="s">
        <v>1420</v>
      </c>
      <c r="AF108" t="s">
        <v>1437</v>
      </c>
      <c r="AG108" t="s">
        <v>58</v>
      </c>
      <c r="BX108" t="s">
        <v>311</v>
      </c>
    </row>
    <row r="109" spans="1:97" hidden="1">
      <c r="A109" s="32" t="s">
        <v>312</v>
      </c>
      <c r="B109" s="32" t="s">
        <v>83</v>
      </c>
      <c r="C109" s="23">
        <v>1</v>
      </c>
      <c r="D109" s="23">
        <v>3740200</v>
      </c>
      <c r="E109" s="23">
        <v>2</v>
      </c>
      <c r="F109" s="23">
        <v>0.30099999999999999</v>
      </c>
      <c r="G109" s="23" t="s">
        <v>89</v>
      </c>
      <c r="H109" s="23">
        <v>325</v>
      </c>
      <c r="I109" s="23" t="s">
        <v>85</v>
      </c>
      <c r="J109" s="23">
        <v>462</v>
      </c>
      <c r="K109" s="23" t="s">
        <v>92</v>
      </c>
      <c r="L109" s="23" t="s">
        <v>310</v>
      </c>
      <c r="M109" s="23"/>
      <c r="N109" s="23"/>
      <c r="O109" s="23"/>
      <c r="P109" s="23"/>
      <c r="Q109" s="23"/>
      <c r="R109" s="23"/>
      <c r="S109" s="23" t="s">
        <v>64</v>
      </c>
      <c r="T109" s="23"/>
      <c r="U109" s="23" t="s">
        <v>87</v>
      </c>
      <c r="V109" s="23"/>
      <c r="W109" s="33">
        <v>0</v>
      </c>
      <c r="Y109" t="s">
        <v>161</v>
      </c>
      <c r="Z109" t="s">
        <v>53</v>
      </c>
      <c r="AA109" t="s">
        <v>51</v>
      </c>
      <c r="AB109" t="s">
        <v>72</v>
      </c>
      <c r="AC109" t="s">
        <v>1420</v>
      </c>
      <c r="AF109" t="s">
        <v>1437</v>
      </c>
      <c r="AG109" t="s">
        <v>58</v>
      </c>
      <c r="AI109" t="str">
        <f t="shared" ref="AI109:AI110" si="14">BY109&amp;"_"&amp;CB109&amp;"_"&amp;L109&amp;"_p"&amp;C109&amp;"_"&amp;E109&amp;"st_"&amp;AK109&amp;"_"&amp;RIGHT(AG109,4)&amp;"_"&amp;AL109</f>
        <v>4_S235_SL40038126_p1_2st__2050_</v>
      </c>
      <c r="AM109" t="s">
        <v>1673</v>
      </c>
      <c r="AZ109" s="64" t="s">
        <v>1505</v>
      </c>
      <c r="BA109" s="64" t="s">
        <v>1506</v>
      </c>
      <c r="BX109" t="s">
        <v>1691</v>
      </c>
      <c r="BY109">
        <v>4</v>
      </c>
      <c r="BZ109" t="s">
        <v>1692</v>
      </c>
      <c r="CA109" t="s">
        <v>1693</v>
      </c>
      <c r="CB109" t="s">
        <v>1895</v>
      </c>
      <c r="CG109">
        <v>4</v>
      </c>
      <c r="CH109" t="s">
        <v>1895</v>
      </c>
      <c r="CI109" t="s">
        <v>310</v>
      </c>
      <c r="CJ109" t="s">
        <v>1898</v>
      </c>
      <c r="CK109" t="s">
        <v>1899</v>
      </c>
      <c r="CL109" t="s">
        <v>1903</v>
      </c>
      <c r="CM109">
        <v>3902</v>
      </c>
      <c r="CN109">
        <v>2</v>
      </c>
      <c r="CR109" t="s">
        <v>1975</v>
      </c>
    </row>
    <row r="110" spans="1:97" hidden="1">
      <c r="A110" s="32" t="s">
        <v>313</v>
      </c>
      <c r="B110" s="32" t="s">
        <v>83</v>
      </c>
      <c r="C110" s="23">
        <v>2</v>
      </c>
      <c r="D110" s="23">
        <v>3740200</v>
      </c>
      <c r="E110" s="23">
        <v>2</v>
      </c>
      <c r="F110" s="23">
        <v>2.4E-2</v>
      </c>
      <c r="G110" s="23" t="s">
        <v>89</v>
      </c>
      <c r="H110" s="23">
        <v>159</v>
      </c>
      <c r="I110" s="23" t="s">
        <v>85</v>
      </c>
      <c r="J110" s="23">
        <v>75</v>
      </c>
      <c r="K110" s="23" t="s">
        <v>92</v>
      </c>
      <c r="L110" s="23" t="s">
        <v>310</v>
      </c>
      <c r="M110" s="23"/>
      <c r="N110" s="23"/>
      <c r="O110" s="23"/>
      <c r="P110" s="23"/>
      <c r="Q110" s="23"/>
      <c r="R110" s="23"/>
      <c r="S110" s="23" t="s">
        <v>64</v>
      </c>
      <c r="T110" s="23"/>
      <c r="U110" s="23" t="s">
        <v>87</v>
      </c>
      <c r="V110" s="23"/>
      <c r="W110" s="33">
        <v>0</v>
      </c>
      <c r="Y110" t="s">
        <v>161</v>
      </c>
      <c r="Z110" t="s">
        <v>53</v>
      </c>
      <c r="AA110" t="s">
        <v>51</v>
      </c>
      <c r="AB110" t="s">
        <v>72</v>
      </c>
      <c r="AC110" t="s">
        <v>1420</v>
      </c>
      <c r="AF110" t="s">
        <v>1437</v>
      </c>
      <c r="AG110" t="s">
        <v>58</v>
      </c>
      <c r="AI110" t="str">
        <f t="shared" si="14"/>
        <v>4_S235_SL40038126_p2_2st__2050_</v>
      </c>
      <c r="AM110" t="s">
        <v>1673</v>
      </c>
      <c r="AZ110" s="64" t="s">
        <v>1507</v>
      </c>
      <c r="BA110" s="64" t="s">
        <v>1508</v>
      </c>
      <c r="BX110" t="s">
        <v>1691</v>
      </c>
      <c r="BY110">
        <v>4</v>
      </c>
      <c r="BZ110" t="s">
        <v>1692</v>
      </c>
      <c r="CA110" t="s">
        <v>1693</v>
      </c>
      <c r="CB110" t="s">
        <v>1895</v>
      </c>
      <c r="CG110">
        <v>4</v>
      </c>
      <c r="CH110" t="s">
        <v>1895</v>
      </c>
      <c r="CI110" t="s">
        <v>310</v>
      </c>
      <c r="CJ110" t="s">
        <v>1901</v>
      </c>
      <c r="CK110" t="s">
        <v>1899</v>
      </c>
      <c r="CL110" t="s">
        <v>1903</v>
      </c>
      <c r="CM110">
        <v>3902</v>
      </c>
      <c r="CN110">
        <v>2</v>
      </c>
      <c r="CR110" t="s">
        <v>1976</v>
      </c>
    </row>
    <row r="111" spans="1:97" hidden="1">
      <c r="A111" s="29" t="s">
        <v>314</v>
      </c>
      <c r="B111" s="29" t="s">
        <v>79</v>
      </c>
      <c r="C111" s="30">
        <v>5</v>
      </c>
      <c r="D111" s="30" t="s">
        <v>315</v>
      </c>
      <c r="E111" s="30">
        <v>1</v>
      </c>
      <c r="F111" s="30"/>
      <c r="G111" s="30" t="s">
        <v>52</v>
      </c>
      <c r="H111" s="30"/>
      <c r="I111" s="30"/>
      <c r="J111" s="30"/>
      <c r="K111" s="30" t="s">
        <v>316</v>
      </c>
      <c r="L111" s="30" t="s">
        <v>315</v>
      </c>
      <c r="M111" s="30">
        <v>4</v>
      </c>
      <c r="N111" s="30"/>
      <c r="O111" s="23"/>
      <c r="P111" s="23"/>
      <c r="Q111" s="23"/>
      <c r="R111" s="23"/>
      <c r="S111" s="23" t="s">
        <v>64</v>
      </c>
      <c r="T111" s="23"/>
      <c r="U111" s="23" t="s">
        <v>54</v>
      </c>
      <c r="V111" s="23"/>
      <c r="W111" s="31">
        <v>7.8460000000000001</v>
      </c>
      <c r="Y111" t="s">
        <v>40</v>
      </c>
      <c r="Z111" t="s">
        <v>53</v>
      </c>
      <c r="AA111" t="s">
        <v>51</v>
      </c>
      <c r="AB111" t="s">
        <v>72</v>
      </c>
      <c r="AC111" t="s">
        <v>1420</v>
      </c>
      <c r="AF111" t="s">
        <v>1437</v>
      </c>
      <c r="AG111" t="s">
        <v>58</v>
      </c>
      <c r="BX111" t="s">
        <v>316</v>
      </c>
    </row>
    <row r="112" spans="1:97" hidden="1">
      <c r="A112" s="32" t="s">
        <v>317</v>
      </c>
      <c r="B112" s="32" t="s">
        <v>83</v>
      </c>
      <c r="C112" s="23">
        <v>1</v>
      </c>
      <c r="D112" s="23">
        <v>3784800</v>
      </c>
      <c r="E112" s="23">
        <v>1</v>
      </c>
      <c r="F112" s="23">
        <v>0.71399999999999997</v>
      </c>
      <c r="G112" s="23" t="s">
        <v>89</v>
      </c>
      <c r="H112" s="23" t="s">
        <v>318</v>
      </c>
      <c r="I112" s="23" t="s">
        <v>85</v>
      </c>
      <c r="J112" s="23">
        <v>680</v>
      </c>
      <c r="K112" s="23" t="s">
        <v>319</v>
      </c>
      <c r="L112" s="23" t="s">
        <v>315</v>
      </c>
      <c r="M112" s="23"/>
      <c r="N112" s="23"/>
      <c r="O112" s="23"/>
      <c r="P112" s="23"/>
      <c r="Q112" s="23"/>
      <c r="R112" s="23"/>
      <c r="S112" s="23" t="s">
        <v>64</v>
      </c>
      <c r="T112" s="23"/>
      <c r="U112" s="23" t="s">
        <v>17</v>
      </c>
      <c r="V112" s="23"/>
      <c r="W112" s="33">
        <v>0</v>
      </c>
      <c r="Y112" t="s">
        <v>259</v>
      </c>
      <c r="Z112" t="s">
        <v>53</v>
      </c>
      <c r="AA112" t="s">
        <v>51</v>
      </c>
      <c r="AB112" t="s">
        <v>72</v>
      </c>
      <c r="AC112" t="s">
        <v>1420</v>
      </c>
      <c r="AF112" t="s">
        <v>1437</v>
      </c>
      <c r="AG112" t="s">
        <v>58</v>
      </c>
      <c r="BX112" t="s">
        <v>1744</v>
      </c>
      <c r="BY112">
        <v>10</v>
      </c>
      <c r="BZ112" t="s">
        <v>1752</v>
      </c>
      <c r="CA112" t="s">
        <v>1753</v>
      </c>
    </row>
    <row r="113" spans="1:98" hidden="1">
      <c r="A113" s="29" t="s">
        <v>320</v>
      </c>
      <c r="B113" s="29" t="s">
        <v>79</v>
      </c>
      <c r="C113" s="30">
        <v>6</v>
      </c>
      <c r="D113" s="30" t="s">
        <v>321</v>
      </c>
      <c r="E113" s="30">
        <v>1</v>
      </c>
      <c r="F113" s="30"/>
      <c r="G113" s="30" t="s">
        <v>52</v>
      </c>
      <c r="H113" s="30"/>
      <c r="I113" s="30"/>
      <c r="J113" s="30"/>
      <c r="K113" s="30" t="s">
        <v>322</v>
      </c>
      <c r="L113" s="30" t="s">
        <v>321</v>
      </c>
      <c r="M113" s="30">
        <v>3</v>
      </c>
      <c r="N113" s="30"/>
      <c r="O113" s="23"/>
      <c r="P113" s="23"/>
      <c r="Q113" s="23"/>
      <c r="R113" s="23"/>
      <c r="S113" s="23" t="s">
        <v>64</v>
      </c>
      <c r="T113" s="23"/>
      <c r="U113" s="23" t="s">
        <v>54</v>
      </c>
      <c r="V113" s="23"/>
      <c r="W113" s="31">
        <v>2.0230000000000001</v>
      </c>
      <c r="Y113" t="s">
        <v>40</v>
      </c>
      <c r="Z113" t="s">
        <v>53</v>
      </c>
      <c r="AA113" t="s">
        <v>51</v>
      </c>
      <c r="AB113" t="s">
        <v>72</v>
      </c>
      <c r="AC113" t="s">
        <v>1420</v>
      </c>
      <c r="AF113" t="s">
        <v>1437</v>
      </c>
      <c r="AG113" t="s">
        <v>58</v>
      </c>
      <c r="BX113" t="s">
        <v>322</v>
      </c>
    </row>
    <row r="114" spans="1:98" hidden="1">
      <c r="A114" s="32" t="s">
        <v>323</v>
      </c>
      <c r="B114" s="32" t="s">
        <v>83</v>
      </c>
      <c r="C114" s="23">
        <v>1</v>
      </c>
      <c r="D114" s="23">
        <v>3670100</v>
      </c>
      <c r="E114" s="23">
        <v>1</v>
      </c>
      <c r="F114" s="23">
        <v>5.2999999999999999E-2</v>
      </c>
      <c r="G114" s="23" t="s">
        <v>89</v>
      </c>
      <c r="H114" s="23" t="s">
        <v>318</v>
      </c>
      <c r="I114" s="23" t="s">
        <v>85</v>
      </c>
      <c r="J114" s="23">
        <v>50</v>
      </c>
      <c r="K114" s="23" t="s">
        <v>188</v>
      </c>
      <c r="L114" s="23" t="s">
        <v>321</v>
      </c>
      <c r="M114" s="23"/>
      <c r="N114" s="23"/>
      <c r="O114" s="23"/>
      <c r="P114" s="23"/>
      <c r="Q114" s="23"/>
      <c r="R114" s="23"/>
      <c r="S114" s="23" t="s">
        <v>64</v>
      </c>
      <c r="T114" s="23"/>
      <c r="U114" s="23" t="s">
        <v>87</v>
      </c>
      <c r="V114" s="23"/>
      <c r="W114" s="33">
        <v>0</v>
      </c>
      <c r="Y114" t="s">
        <v>161</v>
      </c>
      <c r="Z114" t="s">
        <v>53</v>
      </c>
      <c r="AA114" t="s">
        <v>51</v>
      </c>
      <c r="AB114" t="s">
        <v>72</v>
      </c>
      <c r="AC114" t="s">
        <v>1420</v>
      </c>
      <c r="AF114" t="s">
        <v>1437</v>
      </c>
      <c r="AG114" t="s">
        <v>58</v>
      </c>
      <c r="AI114" t="str">
        <f>BY114&amp;"_"&amp;CB114&amp;"_"&amp;L114&amp;"_p"&amp;C114&amp;"_"&amp;E114&amp;"st_"&amp;AK114&amp;"_"&amp;RIGHT(AG114,4)&amp;"_"&amp;AL114</f>
        <v>5_S235_SL41038035_p1_1st__2050_</v>
      </c>
      <c r="AM114" t="s">
        <v>1673</v>
      </c>
      <c r="AZ114" s="64" t="s">
        <v>1509</v>
      </c>
      <c r="BA114" s="64" t="s">
        <v>1510</v>
      </c>
      <c r="BX114" t="s">
        <v>1691</v>
      </c>
      <c r="BY114">
        <v>5</v>
      </c>
      <c r="BZ114" t="s">
        <v>1692</v>
      </c>
      <c r="CA114" t="s">
        <v>1693</v>
      </c>
      <c r="CB114" t="s">
        <v>1895</v>
      </c>
      <c r="CG114">
        <v>5</v>
      </c>
      <c r="CH114" t="s">
        <v>1895</v>
      </c>
      <c r="CI114" t="s">
        <v>321</v>
      </c>
      <c r="CJ114" t="s">
        <v>1898</v>
      </c>
      <c r="CK114" t="s">
        <v>1914</v>
      </c>
      <c r="CM114" t="s">
        <v>1915</v>
      </c>
      <c r="CR114" t="s">
        <v>1977</v>
      </c>
    </row>
    <row r="115" spans="1:98" hidden="1">
      <c r="A115" s="32" t="s">
        <v>324</v>
      </c>
      <c r="B115" s="32" t="s">
        <v>79</v>
      </c>
      <c r="C115" s="23">
        <v>101</v>
      </c>
      <c r="D115" s="23">
        <v>25359500</v>
      </c>
      <c r="E115" s="23">
        <v>9</v>
      </c>
      <c r="F115" s="23"/>
      <c r="G115" s="23" t="s">
        <v>52</v>
      </c>
      <c r="H115" s="23" t="s">
        <v>283</v>
      </c>
      <c r="I115" s="23"/>
      <c r="J115" s="23"/>
      <c r="K115" s="23" t="s">
        <v>284</v>
      </c>
      <c r="L115" s="23" t="s">
        <v>321</v>
      </c>
      <c r="M115" s="23"/>
      <c r="N115" s="23"/>
      <c r="O115" s="23"/>
      <c r="P115" s="23"/>
      <c r="Q115" s="23"/>
      <c r="R115" s="23"/>
      <c r="S115" s="23" t="s">
        <v>64</v>
      </c>
      <c r="T115" s="23"/>
      <c r="U115" s="23" t="s">
        <v>17</v>
      </c>
      <c r="V115" s="23"/>
      <c r="W115" s="33">
        <v>4.8000000000000001E-2</v>
      </c>
      <c r="Y115" t="s">
        <v>124</v>
      </c>
      <c r="Z115" t="s">
        <v>53</v>
      </c>
      <c r="AA115" t="s">
        <v>51</v>
      </c>
      <c r="AB115" t="s">
        <v>72</v>
      </c>
      <c r="AF115" t="s">
        <v>1437</v>
      </c>
      <c r="AG115" t="s">
        <v>58</v>
      </c>
      <c r="BX115" t="s">
        <v>1713</v>
      </c>
      <c r="BY115" t="s">
        <v>283</v>
      </c>
      <c r="BZ115" t="s">
        <v>1714</v>
      </c>
      <c r="CA115" s="76">
        <v>46242</v>
      </c>
      <c r="CB115" t="s">
        <v>1715</v>
      </c>
      <c r="CC115" t="s">
        <v>1716</v>
      </c>
    </row>
    <row r="116" spans="1:98" hidden="1">
      <c r="A116" s="32" t="s">
        <v>325</v>
      </c>
      <c r="B116" s="32" t="s">
        <v>79</v>
      </c>
      <c r="C116" s="23">
        <v>102</v>
      </c>
      <c r="D116" s="23">
        <v>24707900</v>
      </c>
      <c r="E116" s="23">
        <v>19</v>
      </c>
      <c r="F116" s="23"/>
      <c r="G116" s="23" t="s">
        <v>52</v>
      </c>
      <c r="H116" s="23" t="s">
        <v>275</v>
      </c>
      <c r="I116" s="23"/>
      <c r="J116" s="23"/>
      <c r="K116" s="23" t="s">
        <v>276</v>
      </c>
      <c r="L116" s="23" t="s">
        <v>321</v>
      </c>
      <c r="M116" s="23"/>
      <c r="N116" s="23"/>
      <c r="O116" s="23"/>
      <c r="P116" s="23"/>
      <c r="Q116" s="23"/>
      <c r="R116" s="23"/>
      <c r="S116" s="23" t="s">
        <v>64</v>
      </c>
      <c r="T116" s="23"/>
      <c r="U116" s="23" t="s">
        <v>17</v>
      </c>
      <c r="V116" s="23"/>
      <c r="W116" s="33">
        <v>1.7000000000000001E-2</v>
      </c>
      <c r="Y116" t="s">
        <v>124</v>
      </c>
      <c r="Z116" t="s">
        <v>53</v>
      </c>
      <c r="AA116" t="s">
        <v>51</v>
      </c>
      <c r="AB116" t="s">
        <v>72</v>
      </c>
      <c r="AF116" t="s">
        <v>1437</v>
      </c>
      <c r="AG116" t="s">
        <v>58</v>
      </c>
      <c r="BX116" t="s">
        <v>1717</v>
      </c>
      <c r="BY116" t="s">
        <v>275</v>
      </c>
      <c r="BZ116" t="s">
        <v>1718</v>
      </c>
      <c r="CA116">
        <v>8</v>
      </c>
      <c r="CB116" t="s">
        <v>1715</v>
      </c>
      <c r="CC116" t="s">
        <v>1716</v>
      </c>
    </row>
    <row r="117" spans="1:98" hidden="1">
      <c r="A117" s="32" t="s">
        <v>326</v>
      </c>
      <c r="B117" s="32" t="s">
        <v>79</v>
      </c>
      <c r="C117" s="23">
        <v>103</v>
      </c>
      <c r="D117" s="23">
        <v>3301400</v>
      </c>
      <c r="E117" s="23">
        <v>38</v>
      </c>
      <c r="F117" s="23"/>
      <c r="G117" s="23" t="s">
        <v>52</v>
      </c>
      <c r="H117" s="23"/>
      <c r="I117" s="23"/>
      <c r="J117" s="23"/>
      <c r="K117" s="23" t="s">
        <v>327</v>
      </c>
      <c r="L117" s="23" t="s">
        <v>321</v>
      </c>
      <c r="M117" s="23"/>
      <c r="N117" s="23"/>
      <c r="O117" s="23"/>
      <c r="P117" s="23"/>
      <c r="Q117" s="23"/>
      <c r="R117" s="23"/>
      <c r="S117" s="23" t="s">
        <v>64</v>
      </c>
      <c r="T117" s="23"/>
      <c r="U117" s="23" t="s">
        <v>17</v>
      </c>
      <c r="V117" s="23"/>
      <c r="W117" s="33">
        <v>6.0000000000000001E-3</v>
      </c>
      <c r="Y117" t="s">
        <v>124</v>
      </c>
      <c r="Z117" t="s">
        <v>53</v>
      </c>
      <c r="AA117" t="s">
        <v>51</v>
      </c>
      <c r="AB117" t="s">
        <v>72</v>
      </c>
      <c r="AF117" t="s">
        <v>1437</v>
      </c>
      <c r="AG117" t="s">
        <v>58</v>
      </c>
      <c r="BX117" t="s">
        <v>1719</v>
      </c>
      <c r="BY117" t="s">
        <v>275</v>
      </c>
      <c r="BZ117" t="s">
        <v>1748</v>
      </c>
      <c r="CA117" t="s">
        <v>1749</v>
      </c>
      <c r="CB117" t="s">
        <v>1715</v>
      </c>
      <c r="CC117" t="s">
        <v>1716</v>
      </c>
    </row>
    <row r="118" spans="1:98" hidden="1">
      <c r="A118" s="32" t="s">
        <v>328</v>
      </c>
      <c r="B118" s="32" t="s">
        <v>79</v>
      </c>
      <c r="C118" s="23">
        <v>104</v>
      </c>
      <c r="D118" s="23">
        <v>25397900</v>
      </c>
      <c r="E118" s="23">
        <v>10</v>
      </c>
      <c r="F118" s="23"/>
      <c r="G118" s="23" t="s">
        <v>52</v>
      </c>
      <c r="H118" s="23" t="s">
        <v>280</v>
      </c>
      <c r="I118" s="23"/>
      <c r="J118" s="23"/>
      <c r="K118" s="23" t="s">
        <v>329</v>
      </c>
      <c r="L118" s="23" t="s">
        <v>321</v>
      </c>
      <c r="M118" s="23"/>
      <c r="N118" s="23"/>
      <c r="O118" s="23"/>
      <c r="P118" s="23"/>
      <c r="Q118" s="23"/>
      <c r="R118" s="23"/>
      <c r="S118" s="23" t="s">
        <v>64</v>
      </c>
      <c r="T118" s="23"/>
      <c r="U118" s="23" t="s">
        <v>17</v>
      </c>
      <c r="V118" s="23"/>
      <c r="W118" s="33">
        <v>3.7999999999999999E-2</v>
      </c>
      <c r="Y118" t="s">
        <v>124</v>
      </c>
      <c r="Z118" t="s">
        <v>53</v>
      </c>
      <c r="AA118" t="s">
        <v>51</v>
      </c>
      <c r="AB118" t="s">
        <v>72</v>
      </c>
      <c r="AF118" t="s">
        <v>1437</v>
      </c>
      <c r="AG118" t="s">
        <v>58</v>
      </c>
      <c r="BX118" t="s">
        <v>1713</v>
      </c>
      <c r="BY118" t="s">
        <v>280</v>
      </c>
      <c r="BZ118" t="s">
        <v>1714</v>
      </c>
      <c r="CA118" s="76">
        <v>46242</v>
      </c>
      <c r="CB118" t="s">
        <v>1715</v>
      </c>
      <c r="CC118" t="s">
        <v>1716</v>
      </c>
    </row>
    <row r="119" spans="1:98" hidden="1">
      <c r="A119" s="32" t="s">
        <v>330</v>
      </c>
      <c r="B119" s="32" t="s">
        <v>79</v>
      </c>
      <c r="C119" s="23">
        <v>105</v>
      </c>
      <c r="D119" s="23">
        <v>24381400</v>
      </c>
      <c r="E119" s="23">
        <v>6</v>
      </c>
      <c r="F119" s="23"/>
      <c r="G119" s="23" t="s">
        <v>52</v>
      </c>
      <c r="H119" s="23" t="s">
        <v>331</v>
      </c>
      <c r="I119" s="23"/>
      <c r="J119" s="23"/>
      <c r="K119" s="23" t="s">
        <v>332</v>
      </c>
      <c r="L119" s="23" t="s">
        <v>321</v>
      </c>
      <c r="M119" s="23"/>
      <c r="N119" s="23"/>
      <c r="O119" s="23"/>
      <c r="P119" s="23"/>
      <c r="Q119" s="23"/>
      <c r="R119" s="23"/>
      <c r="S119" s="23" t="s">
        <v>64</v>
      </c>
      <c r="T119" s="23"/>
      <c r="U119" s="23" t="s">
        <v>17</v>
      </c>
      <c r="V119" s="23"/>
      <c r="W119" s="33">
        <v>1.4E-2</v>
      </c>
      <c r="Y119" t="s">
        <v>124</v>
      </c>
      <c r="Z119" t="s">
        <v>53</v>
      </c>
      <c r="AA119" t="s">
        <v>51</v>
      </c>
      <c r="AB119" t="s">
        <v>72</v>
      </c>
      <c r="AF119" t="s">
        <v>1437</v>
      </c>
      <c r="AG119" t="s">
        <v>58</v>
      </c>
      <c r="BX119" t="s">
        <v>1713</v>
      </c>
      <c r="BY119" t="s">
        <v>331</v>
      </c>
      <c r="BZ119" t="s">
        <v>1714</v>
      </c>
      <c r="CA119" s="76">
        <v>46242</v>
      </c>
      <c r="CB119" t="s">
        <v>1740</v>
      </c>
    </row>
    <row r="120" spans="1:98" hidden="1">
      <c r="A120" s="32" t="s">
        <v>333</v>
      </c>
      <c r="B120" s="32" t="s">
        <v>79</v>
      </c>
      <c r="C120" s="23">
        <v>106</v>
      </c>
      <c r="D120" s="23">
        <v>24398400</v>
      </c>
      <c r="E120" s="23">
        <v>6</v>
      </c>
      <c r="F120" s="23"/>
      <c r="G120" s="23" t="s">
        <v>52</v>
      </c>
      <c r="H120" s="23" t="s">
        <v>334</v>
      </c>
      <c r="I120" s="23"/>
      <c r="J120" s="23"/>
      <c r="K120" s="23" t="s">
        <v>335</v>
      </c>
      <c r="L120" s="23" t="s">
        <v>321</v>
      </c>
      <c r="M120" s="23"/>
      <c r="N120" s="23"/>
      <c r="O120" s="23"/>
      <c r="P120" s="23"/>
      <c r="Q120" s="23"/>
      <c r="R120" s="23"/>
      <c r="S120" s="23" t="s">
        <v>64</v>
      </c>
      <c r="T120" s="23"/>
      <c r="U120" s="23" t="s">
        <v>17</v>
      </c>
      <c r="V120" s="23"/>
      <c r="W120" s="33">
        <v>5.0000000000000001E-3</v>
      </c>
      <c r="Y120" t="s">
        <v>124</v>
      </c>
      <c r="Z120" t="s">
        <v>53</v>
      </c>
      <c r="AA120" t="s">
        <v>51</v>
      </c>
      <c r="AB120" t="s">
        <v>72</v>
      </c>
      <c r="AF120" t="s">
        <v>1437</v>
      </c>
      <c r="AG120" t="s">
        <v>58</v>
      </c>
      <c r="BX120" t="s">
        <v>1717</v>
      </c>
      <c r="BY120" t="s">
        <v>334</v>
      </c>
      <c r="BZ120" t="s">
        <v>1718</v>
      </c>
      <c r="CA120">
        <v>8</v>
      </c>
      <c r="CB120" t="s">
        <v>1740</v>
      </c>
    </row>
    <row r="121" spans="1:98" hidden="1">
      <c r="A121" s="32" t="s">
        <v>336</v>
      </c>
      <c r="B121" s="32" t="s">
        <v>79</v>
      </c>
      <c r="C121" s="23">
        <v>107</v>
      </c>
      <c r="D121" s="23">
        <v>3287100</v>
      </c>
      <c r="E121" s="23">
        <v>12</v>
      </c>
      <c r="F121" s="23"/>
      <c r="G121" s="23" t="s">
        <v>52</v>
      </c>
      <c r="H121" s="23"/>
      <c r="I121" s="23"/>
      <c r="J121" s="23"/>
      <c r="K121" s="23" t="s">
        <v>337</v>
      </c>
      <c r="L121" s="23" t="s">
        <v>321</v>
      </c>
      <c r="M121" s="23"/>
      <c r="N121" s="23"/>
      <c r="O121" s="23"/>
      <c r="P121" s="23"/>
      <c r="Q121" s="23"/>
      <c r="R121" s="23"/>
      <c r="S121" s="23" t="s">
        <v>64</v>
      </c>
      <c r="T121" s="23"/>
      <c r="U121" s="23" t="s">
        <v>17</v>
      </c>
      <c r="V121" s="23"/>
      <c r="W121" s="33">
        <v>2E-3</v>
      </c>
      <c r="Y121" t="s">
        <v>124</v>
      </c>
      <c r="Z121" t="s">
        <v>53</v>
      </c>
      <c r="AA121" t="s">
        <v>51</v>
      </c>
      <c r="AB121" t="s">
        <v>72</v>
      </c>
      <c r="AF121" t="s">
        <v>1437</v>
      </c>
      <c r="AG121" t="s">
        <v>58</v>
      </c>
      <c r="BX121" t="s">
        <v>1719</v>
      </c>
      <c r="BY121" t="s">
        <v>334</v>
      </c>
      <c r="BZ121" t="s">
        <v>1748</v>
      </c>
      <c r="CA121" t="s">
        <v>1749</v>
      </c>
      <c r="CB121" t="s">
        <v>1715</v>
      </c>
      <c r="CC121" t="s">
        <v>1716</v>
      </c>
    </row>
    <row r="122" spans="1:98" ht="30" hidden="1" customHeight="1">
      <c r="A122" s="32" t="s">
        <v>338</v>
      </c>
      <c r="B122" s="32" t="s">
        <v>79</v>
      </c>
      <c r="C122" s="23">
        <v>301</v>
      </c>
      <c r="D122" s="23">
        <v>4457500</v>
      </c>
      <c r="E122" s="23">
        <v>2</v>
      </c>
      <c r="F122" s="23"/>
      <c r="G122" s="23" t="s">
        <v>52</v>
      </c>
      <c r="H122" s="23"/>
      <c r="I122" s="23"/>
      <c r="J122" s="23"/>
      <c r="K122" s="34" t="s">
        <v>339</v>
      </c>
      <c r="L122" s="23" t="s">
        <v>321</v>
      </c>
      <c r="M122" s="23"/>
      <c r="N122" s="23"/>
      <c r="O122" s="23"/>
      <c r="P122" s="23"/>
      <c r="Q122" s="23"/>
      <c r="R122" s="23"/>
      <c r="S122" s="23" t="s">
        <v>64</v>
      </c>
      <c r="T122" s="23"/>
      <c r="U122" s="23" t="s">
        <v>17</v>
      </c>
      <c r="V122" s="23"/>
      <c r="W122" s="33">
        <v>0.31</v>
      </c>
      <c r="Y122" t="s">
        <v>340</v>
      </c>
      <c r="Z122" t="s">
        <v>53</v>
      </c>
      <c r="AA122" t="s">
        <v>51</v>
      </c>
      <c r="AB122" t="s">
        <v>72</v>
      </c>
      <c r="AF122" t="s">
        <v>1437</v>
      </c>
      <c r="AG122" t="s">
        <v>58</v>
      </c>
      <c r="BX122" t="s">
        <v>1754</v>
      </c>
    </row>
    <row r="123" spans="1:98" hidden="1">
      <c r="A123" s="29" t="s">
        <v>341</v>
      </c>
      <c r="B123" s="29" t="s">
        <v>74</v>
      </c>
      <c r="C123" s="30">
        <v>9</v>
      </c>
      <c r="D123" s="30" t="s">
        <v>342</v>
      </c>
      <c r="E123" s="30">
        <v>1</v>
      </c>
      <c r="F123" s="30"/>
      <c r="G123" s="30" t="s">
        <v>52</v>
      </c>
      <c r="H123" s="30"/>
      <c r="I123" s="30"/>
      <c r="J123" s="30"/>
      <c r="K123" s="30" t="s">
        <v>343</v>
      </c>
      <c r="L123" s="30" t="s">
        <v>342</v>
      </c>
      <c r="M123" s="30">
        <v>3</v>
      </c>
      <c r="N123" s="30"/>
      <c r="O123" s="23"/>
      <c r="P123" s="23"/>
      <c r="Q123" s="23"/>
      <c r="R123" s="23"/>
      <c r="S123" s="23" t="s">
        <v>64</v>
      </c>
      <c r="T123" s="23"/>
      <c r="U123" s="23" t="s">
        <v>54</v>
      </c>
      <c r="V123" s="23"/>
      <c r="W123" s="31">
        <v>6.9029999999999996</v>
      </c>
      <c r="Y123" t="s">
        <v>40</v>
      </c>
      <c r="Z123" t="s">
        <v>53</v>
      </c>
      <c r="AA123" t="s">
        <v>51</v>
      </c>
      <c r="AB123" t="s">
        <v>72</v>
      </c>
      <c r="AF123" t="s">
        <v>1437</v>
      </c>
      <c r="AG123" t="s">
        <v>58</v>
      </c>
      <c r="BX123" t="s">
        <v>343</v>
      </c>
    </row>
    <row r="124" spans="1:98" hidden="1">
      <c r="A124" s="29" t="s">
        <v>344</v>
      </c>
      <c r="B124" s="29" t="s">
        <v>79</v>
      </c>
      <c r="C124" s="30">
        <v>1</v>
      </c>
      <c r="D124" s="30" t="s">
        <v>345</v>
      </c>
      <c r="E124" s="30">
        <v>1</v>
      </c>
      <c r="F124" s="30"/>
      <c r="G124" s="30" t="s">
        <v>52</v>
      </c>
      <c r="H124" s="30"/>
      <c r="I124" s="30"/>
      <c r="J124" s="30"/>
      <c r="K124" s="30" t="s">
        <v>346</v>
      </c>
      <c r="L124" s="30" t="s">
        <v>345</v>
      </c>
      <c r="M124" s="30">
        <v>4</v>
      </c>
      <c r="N124" s="30"/>
      <c r="O124" s="23"/>
      <c r="P124" s="23"/>
      <c r="Q124" s="23"/>
      <c r="R124" s="23"/>
      <c r="S124" s="23" t="s">
        <v>64</v>
      </c>
      <c r="T124" s="23"/>
      <c r="U124" s="23" t="s">
        <v>54</v>
      </c>
      <c r="V124" s="23"/>
      <c r="W124" s="31">
        <v>2.9950000000000001</v>
      </c>
      <c r="Y124" t="s">
        <v>40</v>
      </c>
      <c r="Z124" t="s">
        <v>53</v>
      </c>
      <c r="AA124" t="s">
        <v>51</v>
      </c>
      <c r="AB124" t="s">
        <v>72</v>
      </c>
      <c r="AF124" t="s">
        <v>1437</v>
      </c>
      <c r="AG124" t="s">
        <v>58</v>
      </c>
      <c r="BX124" t="s">
        <v>346</v>
      </c>
    </row>
    <row r="125" spans="1:98" hidden="1">
      <c r="A125" s="29" t="s">
        <v>347</v>
      </c>
      <c r="B125" s="29" t="s">
        <v>83</v>
      </c>
      <c r="C125" s="30">
        <v>1</v>
      </c>
      <c r="D125" s="30" t="s">
        <v>348</v>
      </c>
      <c r="E125" s="30">
        <v>1</v>
      </c>
      <c r="F125" s="30"/>
      <c r="G125" s="30" t="s">
        <v>52</v>
      </c>
      <c r="H125" s="30"/>
      <c r="I125" s="30"/>
      <c r="J125" s="30"/>
      <c r="K125" s="30" t="s">
        <v>349</v>
      </c>
      <c r="L125" s="30" t="s">
        <v>348</v>
      </c>
      <c r="M125" s="30">
        <v>3</v>
      </c>
      <c r="N125" s="30"/>
      <c r="O125" s="23"/>
      <c r="P125" s="23"/>
      <c r="Q125" s="23"/>
      <c r="R125" s="23"/>
      <c r="S125" s="23" t="s">
        <v>64</v>
      </c>
      <c r="T125" s="23"/>
      <c r="U125" s="23" t="s">
        <v>54</v>
      </c>
      <c r="V125" s="23"/>
      <c r="W125" s="31">
        <v>2.16</v>
      </c>
      <c r="Y125" t="s">
        <v>40</v>
      </c>
      <c r="Z125" t="s">
        <v>53</v>
      </c>
      <c r="AA125" t="s">
        <v>51</v>
      </c>
      <c r="AB125" t="s">
        <v>72</v>
      </c>
      <c r="AF125" t="s">
        <v>1437</v>
      </c>
      <c r="AG125" t="s">
        <v>58</v>
      </c>
      <c r="BX125" t="s">
        <v>349</v>
      </c>
    </row>
    <row r="126" spans="1:98" s="79" customFormat="1">
      <c r="A126" s="80" t="s">
        <v>350</v>
      </c>
      <c r="B126" s="80" t="s">
        <v>220</v>
      </c>
      <c r="C126" s="81">
        <v>1</v>
      </c>
      <c r="D126" s="81">
        <v>28500</v>
      </c>
      <c r="E126" s="81">
        <v>1</v>
      </c>
      <c r="F126" s="81">
        <v>0.04</v>
      </c>
      <c r="G126" s="81" t="s">
        <v>89</v>
      </c>
      <c r="H126" s="81">
        <v>200</v>
      </c>
      <c r="I126" s="81" t="s">
        <v>85</v>
      </c>
      <c r="J126" s="81">
        <v>200</v>
      </c>
      <c r="K126" s="81" t="s">
        <v>351</v>
      </c>
      <c r="L126" s="81" t="s">
        <v>348</v>
      </c>
      <c r="M126" s="81"/>
      <c r="N126" s="81"/>
      <c r="O126" s="23"/>
      <c r="P126" s="23"/>
      <c r="Q126" s="23"/>
      <c r="R126" s="23"/>
      <c r="S126" s="23" t="s">
        <v>64</v>
      </c>
      <c r="T126" s="23"/>
      <c r="U126" s="23" t="s">
        <v>87</v>
      </c>
      <c r="V126" s="23"/>
      <c r="W126" s="82">
        <v>0</v>
      </c>
      <c r="Y126" s="79" t="s">
        <v>161</v>
      </c>
      <c r="Z126" s="79" t="s">
        <v>53</v>
      </c>
      <c r="AA126" s="79" t="s">
        <v>51</v>
      </c>
      <c r="AB126" s="79" t="s">
        <v>72</v>
      </c>
      <c r="AF126" s="79" t="s">
        <v>1437</v>
      </c>
      <c r="AG126" s="79" t="s">
        <v>58</v>
      </c>
      <c r="AI126" s="79" t="str">
        <f t="shared" ref="AI126:AI127" si="15">BY126&amp;"_"&amp;CB126&amp;"_"&amp;L126&amp;"_p"&amp;C126&amp;"_"&amp;E126&amp;"st_"&amp;AK126&amp;"_"&amp;RIGHT(AG126,4)&amp;"_"&amp;AL126</f>
        <v>6_S235_SL40035905_p1_1st_S_2050_</v>
      </c>
      <c r="AK126" s="79" t="s">
        <v>19</v>
      </c>
      <c r="AM126" s="79" t="s">
        <v>1675</v>
      </c>
      <c r="AO126"/>
      <c r="AP126"/>
      <c r="AQ126"/>
      <c r="AR126"/>
      <c r="AS126"/>
      <c r="AT126"/>
      <c r="AU126"/>
      <c r="AV126"/>
      <c r="AW126"/>
      <c r="AX126"/>
      <c r="AY126"/>
      <c r="AZ126" s="83" t="s">
        <v>1511</v>
      </c>
      <c r="BA126" s="83" t="s">
        <v>1512</v>
      </c>
      <c r="BX126" s="79" t="s">
        <v>1691</v>
      </c>
      <c r="BY126" s="79">
        <v>6</v>
      </c>
      <c r="BZ126" s="79" t="s">
        <v>1692</v>
      </c>
      <c r="CA126" s="79" t="s">
        <v>1736</v>
      </c>
      <c r="CB126" s="79" t="s">
        <v>1895</v>
      </c>
      <c r="CG126" s="79">
        <v>6</v>
      </c>
      <c r="CH126" s="79" t="s">
        <v>1895</v>
      </c>
      <c r="CI126" s="79" t="s">
        <v>348</v>
      </c>
      <c r="CJ126" s="79" t="s">
        <v>1898</v>
      </c>
      <c r="CK126" s="79" t="s">
        <v>1902</v>
      </c>
      <c r="CL126" s="79" t="s">
        <v>19</v>
      </c>
      <c r="CM126" s="79">
        <v>9184</v>
      </c>
      <c r="CR126" s="79" t="s">
        <v>1978</v>
      </c>
      <c r="CT126" s="79" t="s">
        <v>19</v>
      </c>
    </row>
    <row r="127" spans="1:98" s="79" customFormat="1">
      <c r="A127" s="80" t="s">
        <v>352</v>
      </c>
      <c r="B127" s="80" t="s">
        <v>220</v>
      </c>
      <c r="C127" s="81">
        <v>2</v>
      </c>
      <c r="D127" s="81">
        <v>28500</v>
      </c>
      <c r="E127" s="81">
        <v>1</v>
      </c>
      <c r="F127" s="81">
        <v>1.4999999999999999E-2</v>
      </c>
      <c r="G127" s="81" t="s">
        <v>89</v>
      </c>
      <c r="H127" s="81">
        <v>200</v>
      </c>
      <c r="I127" s="81" t="s">
        <v>85</v>
      </c>
      <c r="J127" s="81">
        <v>75</v>
      </c>
      <c r="K127" s="81" t="s">
        <v>351</v>
      </c>
      <c r="L127" s="81" t="s">
        <v>348</v>
      </c>
      <c r="M127" s="81"/>
      <c r="N127" s="81"/>
      <c r="O127" s="23"/>
      <c r="P127" s="23"/>
      <c r="Q127" s="23"/>
      <c r="R127" s="23"/>
      <c r="S127" s="23" t="s">
        <v>64</v>
      </c>
      <c r="T127" s="23"/>
      <c r="U127" s="23" t="s">
        <v>87</v>
      </c>
      <c r="V127" s="23"/>
      <c r="W127" s="82">
        <v>0</v>
      </c>
      <c r="Y127" s="79" t="s">
        <v>161</v>
      </c>
      <c r="Z127" s="79" t="s">
        <v>53</v>
      </c>
      <c r="AA127" s="79" t="s">
        <v>51</v>
      </c>
      <c r="AB127" s="79" t="s">
        <v>72</v>
      </c>
      <c r="AF127" s="79" t="s">
        <v>1437</v>
      </c>
      <c r="AG127" s="79" t="s">
        <v>58</v>
      </c>
      <c r="AI127" s="79" t="str">
        <f t="shared" si="15"/>
        <v>6_S235_SL40035905_p2_1st_S_2050_</v>
      </c>
      <c r="AK127" s="79" t="s">
        <v>19</v>
      </c>
      <c r="AM127" s="79" t="s">
        <v>1675</v>
      </c>
      <c r="AO127"/>
      <c r="AP127"/>
      <c r="AQ127"/>
      <c r="AR127"/>
      <c r="AS127"/>
      <c r="AT127"/>
      <c r="AU127"/>
      <c r="AV127"/>
      <c r="AW127"/>
      <c r="AX127"/>
      <c r="AY127"/>
      <c r="AZ127" s="83" t="s">
        <v>1513</v>
      </c>
      <c r="BA127" s="83" t="s">
        <v>1514</v>
      </c>
      <c r="BX127" s="79" t="s">
        <v>1691</v>
      </c>
      <c r="BY127" s="79">
        <v>6</v>
      </c>
      <c r="BZ127" s="79" t="s">
        <v>1692</v>
      </c>
      <c r="CA127" s="79" t="s">
        <v>1736</v>
      </c>
      <c r="CB127" s="79" t="s">
        <v>1895</v>
      </c>
      <c r="CG127" s="79">
        <v>6</v>
      </c>
      <c r="CH127" s="79" t="s">
        <v>1895</v>
      </c>
      <c r="CI127" s="79" t="s">
        <v>348</v>
      </c>
      <c r="CJ127" s="79" t="s">
        <v>1901</v>
      </c>
      <c r="CK127" s="79" t="s">
        <v>1902</v>
      </c>
      <c r="CL127" s="79" t="s">
        <v>19</v>
      </c>
      <c r="CM127" s="79">
        <v>9184</v>
      </c>
      <c r="CR127" s="79" t="s">
        <v>1979</v>
      </c>
      <c r="CT127" s="79" t="s">
        <v>19</v>
      </c>
    </row>
    <row r="128" spans="1:98" hidden="1">
      <c r="A128" s="32" t="s">
        <v>353</v>
      </c>
      <c r="B128" s="32" t="s">
        <v>220</v>
      </c>
      <c r="C128" s="23">
        <v>101</v>
      </c>
      <c r="D128" s="23">
        <v>542200</v>
      </c>
      <c r="E128" s="23">
        <v>2</v>
      </c>
      <c r="F128" s="23"/>
      <c r="G128" s="23" t="s">
        <v>52</v>
      </c>
      <c r="H128" s="23" t="s">
        <v>354</v>
      </c>
      <c r="I128" s="23"/>
      <c r="J128" s="23"/>
      <c r="K128" s="23" t="s">
        <v>355</v>
      </c>
      <c r="L128" s="23" t="s">
        <v>348</v>
      </c>
      <c r="M128" s="23"/>
      <c r="N128" s="23"/>
      <c r="O128" s="23"/>
      <c r="P128" s="23"/>
      <c r="Q128" s="23"/>
      <c r="R128" s="23"/>
      <c r="S128" s="23" t="s">
        <v>64</v>
      </c>
      <c r="T128" s="23"/>
      <c r="U128" s="23" t="s">
        <v>17</v>
      </c>
      <c r="V128" s="23"/>
      <c r="W128" s="33">
        <v>0.1</v>
      </c>
      <c r="Y128" t="s">
        <v>124</v>
      </c>
      <c r="Z128" t="s">
        <v>53</v>
      </c>
      <c r="AA128" t="s">
        <v>51</v>
      </c>
      <c r="AB128" t="s">
        <v>72</v>
      </c>
      <c r="AF128" t="s">
        <v>1437</v>
      </c>
      <c r="AG128" t="s">
        <v>58</v>
      </c>
      <c r="BX128" t="s">
        <v>1713</v>
      </c>
      <c r="BY128" t="s">
        <v>354</v>
      </c>
      <c r="BZ128" t="s">
        <v>1714</v>
      </c>
      <c r="CA128" s="76">
        <v>46242</v>
      </c>
      <c r="CB128" t="s">
        <v>1715</v>
      </c>
      <c r="CC128" t="s">
        <v>1716</v>
      </c>
    </row>
    <row r="129" spans="1:98" hidden="1">
      <c r="A129" s="32" t="s">
        <v>356</v>
      </c>
      <c r="B129" s="32" t="s">
        <v>220</v>
      </c>
      <c r="C129" s="23">
        <v>102</v>
      </c>
      <c r="D129" s="23">
        <v>28506600</v>
      </c>
      <c r="E129" s="23">
        <v>2</v>
      </c>
      <c r="F129" s="23"/>
      <c r="G129" s="23" t="s">
        <v>52</v>
      </c>
      <c r="H129" s="23" t="s">
        <v>357</v>
      </c>
      <c r="I129" s="23"/>
      <c r="J129" s="23"/>
      <c r="K129" s="23" t="s">
        <v>358</v>
      </c>
      <c r="L129" s="23" t="s">
        <v>348</v>
      </c>
      <c r="M129" s="23"/>
      <c r="N129" s="23"/>
      <c r="O129" s="23"/>
      <c r="P129" s="23"/>
      <c r="Q129" s="23"/>
      <c r="R129" s="23"/>
      <c r="S129" s="23" t="s">
        <v>64</v>
      </c>
      <c r="T129" s="23"/>
      <c r="U129" s="23" t="s">
        <v>17</v>
      </c>
      <c r="V129" s="23"/>
      <c r="W129" s="33">
        <v>3.3000000000000002E-2</v>
      </c>
      <c r="Y129" t="s">
        <v>124</v>
      </c>
      <c r="Z129" t="s">
        <v>53</v>
      </c>
      <c r="AA129" t="s">
        <v>51</v>
      </c>
      <c r="AB129" t="s">
        <v>72</v>
      </c>
      <c r="AF129" t="s">
        <v>1437</v>
      </c>
      <c r="AG129" t="s">
        <v>58</v>
      </c>
      <c r="BX129" t="s">
        <v>1717</v>
      </c>
      <c r="BY129" t="s">
        <v>357</v>
      </c>
      <c r="BZ129" t="s">
        <v>1718</v>
      </c>
      <c r="CA129">
        <v>8</v>
      </c>
      <c r="CB129" t="s">
        <v>1715</v>
      </c>
      <c r="CC129" t="s">
        <v>1716</v>
      </c>
    </row>
    <row r="130" spans="1:98" hidden="1">
      <c r="A130" s="32" t="s">
        <v>359</v>
      </c>
      <c r="B130" s="32" t="s">
        <v>220</v>
      </c>
      <c r="C130" s="23">
        <v>103</v>
      </c>
      <c r="D130" s="23">
        <v>5115300</v>
      </c>
      <c r="E130" s="23">
        <v>4</v>
      </c>
      <c r="F130" s="23"/>
      <c r="G130" s="23" t="s">
        <v>52</v>
      </c>
      <c r="H130" s="23">
        <v>17</v>
      </c>
      <c r="I130" s="23"/>
      <c r="J130" s="23"/>
      <c r="K130" s="23" t="s">
        <v>171</v>
      </c>
      <c r="L130" s="23" t="s">
        <v>348</v>
      </c>
      <c r="M130" s="23"/>
      <c r="N130" s="23"/>
      <c r="O130" s="23"/>
      <c r="P130" s="23"/>
      <c r="Q130" s="23"/>
      <c r="R130" s="23"/>
      <c r="S130" s="23" t="s">
        <v>64</v>
      </c>
      <c r="T130" s="23"/>
      <c r="U130" s="23" t="s">
        <v>17</v>
      </c>
      <c r="V130" s="23"/>
      <c r="W130" s="33">
        <v>1.0999999999999999E-2</v>
      </c>
      <c r="Y130" t="s">
        <v>124</v>
      </c>
      <c r="Z130" t="s">
        <v>53</v>
      </c>
      <c r="AA130" t="s">
        <v>51</v>
      </c>
      <c r="AB130" t="s">
        <v>72</v>
      </c>
      <c r="AF130" t="s">
        <v>1437</v>
      </c>
      <c r="AG130" t="s">
        <v>58</v>
      </c>
      <c r="BX130" t="s">
        <v>1719</v>
      </c>
      <c r="BY130" t="s">
        <v>1739</v>
      </c>
      <c r="BZ130" t="s">
        <v>1720</v>
      </c>
      <c r="CB130" t="s">
        <v>1721</v>
      </c>
    </row>
    <row r="131" spans="1:98" hidden="1">
      <c r="A131" s="29" t="s">
        <v>360</v>
      </c>
      <c r="B131" s="29" t="s">
        <v>83</v>
      </c>
      <c r="C131" s="30">
        <v>2</v>
      </c>
      <c r="D131" s="30" t="s">
        <v>361</v>
      </c>
      <c r="E131" s="30">
        <v>1</v>
      </c>
      <c r="F131" s="30"/>
      <c r="G131" s="30" t="s">
        <v>52</v>
      </c>
      <c r="H131" s="30"/>
      <c r="I131" s="30"/>
      <c r="J131" s="30"/>
      <c r="K131" s="30" t="s">
        <v>362</v>
      </c>
      <c r="L131" s="30" t="s">
        <v>361</v>
      </c>
      <c r="M131" s="30">
        <v>4</v>
      </c>
      <c r="N131" s="30"/>
      <c r="O131" s="23"/>
      <c r="P131" s="23"/>
      <c r="Q131" s="23"/>
      <c r="R131" s="23"/>
      <c r="S131" s="23" t="s">
        <v>64</v>
      </c>
      <c r="T131" s="23"/>
      <c r="U131" s="23" t="s">
        <v>54</v>
      </c>
      <c r="V131" s="23"/>
      <c r="W131" s="31">
        <v>0.83499999999999996</v>
      </c>
      <c r="Y131" t="s">
        <v>40</v>
      </c>
      <c r="Z131" t="s">
        <v>53</v>
      </c>
      <c r="AA131" t="s">
        <v>51</v>
      </c>
      <c r="AB131" t="s">
        <v>72</v>
      </c>
      <c r="AF131" t="s">
        <v>1437</v>
      </c>
      <c r="AG131" t="s">
        <v>58</v>
      </c>
      <c r="BX131" t="s">
        <v>362</v>
      </c>
    </row>
    <row r="132" spans="1:98" hidden="1">
      <c r="A132" s="32" t="s">
        <v>363</v>
      </c>
      <c r="B132" s="32" t="s">
        <v>220</v>
      </c>
      <c r="C132" s="23">
        <v>1</v>
      </c>
      <c r="D132" s="23">
        <v>739600</v>
      </c>
      <c r="E132" s="23">
        <v>1</v>
      </c>
      <c r="F132" s="23">
        <v>40</v>
      </c>
      <c r="G132" s="23" t="s">
        <v>85</v>
      </c>
      <c r="H132" s="23">
        <v>40</v>
      </c>
      <c r="I132" s="23" t="s">
        <v>85</v>
      </c>
      <c r="J132" s="23">
        <v>0</v>
      </c>
      <c r="K132" s="23" t="s">
        <v>364</v>
      </c>
      <c r="L132" s="23" t="s">
        <v>361</v>
      </c>
      <c r="M132" s="23"/>
      <c r="N132" s="23"/>
      <c r="O132" s="23"/>
      <c r="P132" s="23"/>
      <c r="Q132" s="23"/>
      <c r="R132" s="23"/>
      <c r="S132" s="23" t="s">
        <v>64</v>
      </c>
      <c r="T132" s="23"/>
      <c r="U132" s="23" t="s">
        <v>87</v>
      </c>
      <c r="V132" s="23"/>
      <c r="W132" s="33">
        <v>0</v>
      </c>
      <c r="Y132" t="s">
        <v>365</v>
      </c>
      <c r="Z132" t="s">
        <v>53</v>
      </c>
      <c r="AA132" t="s">
        <v>51</v>
      </c>
      <c r="AB132" t="s">
        <v>72</v>
      </c>
      <c r="AF132" t="s">
        <v>1437</v>
      </c>
      <c r="AG132" t="s">
        <v>58</v>
      </c>
      <c r="BX132" t="s">
        <v>1687</v>
      </c>
      <c r="BY132" t="s">
        <v>1755</v>
      </c>
      <c r="BZ132" t="s">
        <v>1756</v>
      </c>
      <c r="CA132" t="s">
        <v>1757</v>
      </c>
    </row>
    <row r="133" spans="1:98" hidden="1">
      <c r="A133" s="32" t="s">
        <v>366</v>
      </c>
      <c r="B133" s="32" t="s">
        <v>220</v>
      </c>
      <c r="C133" s="23">
        <v>101</v>
      </c>
      <c r="D133" s="23">
        <v>404300</v>
      </c>
      <c r="E133" s="23">
        <v>2</v>
      </c>
      <c r="F133" s="23"/>
      <c r="G133" s="23" t="s">
        <v>52</v>
      </c>
      <c r="H133" s="23" t="s">
        <v>275</v>
      </c>
      <c r="I133" s="23"/>
      <c r="J133" s="23"/>
      <c r="K133" s="23" t="s">
        <v>367</v>
      </c>
      <c r="L133" s="23" t="s">
        <v>361</v>
      </c>
      <c r="M133" s="23"/>
      <c r="N133" s="23"/>
      <c r="O133" s="23"/>
      <c r="P133" s="23"/>
      <c r="Q133" s="23"/>
      <c r="R133" s="23"/>
      <c r="S133" s="23" t="s">
        <v>64</v>
      </c>
      <c r="T133" s="23"/>
      <c r="U133" s="23" t="s">
        <v>17</v>
      </c>
      <c r="V133" s="23"/>
      <c r="W133" s="33">
        <v>1.2999999999999999E-2</v>
      </c>
      <c r="Y133" t="s">
        <v>124</v>
      </c>
      <c r="Z133" t="s">
        <v>53</v>
      </c>
      <c r="AA133" t="s">
        <v>51</v>
      </c>
      <c r="AB133" t="s">
        <v>72</v>
      </c>
      <c r="AF133" t="s">
        <v>1437</v>
      </c>
      <c r="AG133" t="s">
        <v>58</v>
      </c>
      <c r="BX133" t="s">
        <v>1717</v>
      </c>
      <c r="BY133" t="s">
        <v>1758</v>
      </c>
      <c r="BZ133" t="s">
        <v>1759</v>
      </c>
      <c r="CA133" t="s">
        <v>1760</v>
      </c>
      <c r="CB133" t="s">
        <v>1761</v>
      </c>
    </row>
    <row r="134" spans="1:98" hidden="1">
      <c r="A134" s="32" t="s">
        <v>368</v>
      </c>
      <c r="B134" s="32" t="s">
        <v>220</v>
      </c>
      <c r="C134" s="23">
        <v>102</v>
      </c>
      <c r="D134" s="23">
        <v>24379100</v>
      </c>
      <c r="E134" s="23">
        <v>2</v>
      </c>
      <c r="F134" s="23"/>
      <c r="G134" s="23" t="s">
        <v>52</v>
      </c>
      <c r="H134" s="23" t="s">
        <v>272</v>
      </c>
      <c r="I134" s="23"/>
      <c r="J134" s="23"/>
      <c r="K134" s="23" t="s">
        <v>273</v>
      </c>
      <c r="L134" s="23" t="s">
        <v>361</v>
      </c>
      <c r="M134" s="23"/>
      <c r="N134" s="23"/>
      <c r="O134" s="23"/>
      <c r="P134" s="23"/>
      <c r="Q134" s="23"/>
      <c r="R134" s="23"/>
      <c r="S134" s="23" t="s">
        <v>64</v>
      </c>
      <c r="T134" s="23"/>
      <c r="U134" s="23" t="s">
        <v>17</v>
      </c>
      <c r="V134" s="23"/>
      <c r="W134" s="33">
        <v>4.1000000000000002E-2</v>
      </c>
      <c r="Y134" t="s">
        <v>124</v>
      </c>
      <c r="Z134" t="s">
        <v>53</v>
      </c>
      <c r="AA134" t="s">
        <v>51</v>
      </c>
      <c r="AB134" t="s">
        <v>72</v>
      </c>
      <c r="AF134" t="s">
        <v>1437</v>
      </c>
      <c r="AG134" t="s">
        <v>58</v>
      </c>
      <c r="BX134" t="s">
        <v>1713</v>
      </c>
      <c r="BY134" t="s">
        <v>272</v>
      </c>
      <c r="BZ134" t="s">
        <v>1714</v>
      </c>
      <c r="CA134" s="76">
        <v>46242</v>
      </c>
      <c r="CB134" t="s">
        <v>1715</v>
      </c>
      <c r="CC134" t="s">
        <v>1716</v>
      </c>
    </row>
    <row r="135" spans="1:98" hidden="1">
      <c r="A135" s="32" t="s">
        <v>369</v>
      </c>
      <c r="B135" s="32" t="s">
        <v>220</v>
      </c>
      <c r="C135" s="23">
        <v>103</v>
      </c>
      <c r="D135" s="23">
        <v>2282100</v>
      </c>
      <c r="E135" s="23">
        <v>2</v>
      </c>
      <c r="F135" s="23"/>
      <c r="G135" s="23" t="s">
        <v>52</v>
      </c>
      <c r="H135" s="23" t="s">
        <v>275</v>
      </c>
      <c r="I135" s="23"/>
      <c r="J135" s="23"/>
      <c r="K135" s="23" t="s">
        <v>370</v>
      </c>
      <c r="L135" s="23" t="s">
        <v>361</v>
      </c>
      <c r="M135" s="23"/>
      <c r="N135" s="23"/>
      <c r="O135" s="23"/>
      <c r="P135" s="23"/>
      <c r="Q135" s="23"/>
      <c r="R135" s="23"/>
      <c r="S135" s="23" t="s">
        <v>64</v>
      </c>
      <c r="T135" s="23"/>
      <c r="U135" s="23" t="s">
        <v>17</v>
      </c>
      <c r="V135" s="23"/>
      <c r="W135" s="33">
        <v>0.06</v>
      </c>
      <c r="Y135" t="s">
        <v>124</v>
      </c>
      <c r="Z135" t="s">
        <v>53</v>
      </c>
      <c r="AA135" t="s">
        <v>51</v>
      </c>
      <c r="AB135" t="s">
        <v>72</v>
      </c>
      <c r="AF135" t="s">
        <v>1437</v>
      </c>
      <c r="AG135" t="s">
        <v>58</v>
      </c>
      <c r="BX135" t="s">
        <v>1717</v>
      </c>
      <c r="BY135" t="s">
        <v>275</v>
      </c>
      <c r="BZ135" t="s">
        <v>1762</v>
      </c>
      <c r="CA135">
        <v>4</v>
      </c>
      <c r="CB135" t="s">
        <v>1740</v>
      </c>
    </row>
    <row r="136" spans="1:98" hidden="1">
      <c r="A136" s="29" t="s">
        <v>371</v>
      </c>
      <c r="B136" s="29" t="s">
        <v>79</v>
      </c>
      <c r="C136" s="30">
        <v>2</v>
      </c>
      <c r="D136" s="30" t="s">
        <v>372</v>
      </c>
      <c r="E136" s="30">
        <v>1</v>
      </c>
      <c r="F136" s="30"/>
      <c r="G136" s="30" t="s">
        <v>52</v>
      </c>
      <c r="H136" s="30"/>
      <c r="I136" s="30"/>
      <c r="J136" s="30"/>
      <c r="K136" s="30" t="s">
        <v>373</v>
      </c>
      <c r="L136" s="30" t="s">
        <v>372</v>
      </c>
      <c r="M136" s="30">
        <v>4</v>
      </c>
      <c r="N136" s="30"/>
      <c r="O136" s="23"/>
      <c r="P136" s="23"/>
      <c r="Q136" s="23"/>
      <c r="R136" s="23"/>
      <c r="S136" s="23" t="s">
        <v>64</v>
      </c>
      <c r="T136" s="23"/>
      <c r="U136" s="23" t="s">
        <v>54</v>
      </c>
      <c r="V136" s="23"/>
      <c r="W136" s="31">
        <v>3.9079999999999999</v>
      </c>
      <c r="Y136" t="s">
        <v>40</v>
      </c>
      <c r="Z136" t="s">
        <v>53</v>
      </c>
      <c r="AA136" t="s">
        <v>51</v>
      </c>
      <c r="AB136" t="s">
        <v>72</v>
      </c>
      <c r="AF136" t="s">
        <v>1437</v>
      </c>
      <c r="AG136" t="s">
        <v>58</v>
      </c>
      <c r="BX136" t="s">
        <v>373</v>
      </c>
    </row>
    <row r="137" spans="1:98" hidden="1">
      <c r="A137" s="29" t="s">
        <v>374</v>
      </c>
      <c r="B137" s="29" t="s">
        <v>83</v>
      </c>
      <c r="C137" s="30">
        <v>1</v>
      </c>
      <c r="D137" s="30" t="s">
        <v>348</v>
      </c>
      <c r="E137" s="30">
        <v>1</v>
      </c>
      <c r="F137" s="30"/>
      <c r="G137" s="30" t="s">
        <v>52</v>
      </c>
      <c r="H137" s="30"/>
      <c r="I137" s="30"/>
      <c r="J137" s="30"/>
      <c r="K137" s="30" t="s">
        <v>349</v>
      </c>
      <c r="L137" s="30" t="s">
        <v>348</v>
      </c>
      <c r="M137" s="30">
        <v>3</v>
      </c>
      <c r="N137" s="30"/>
      <c r="O137" s="23"/>
      <c r="P137" s="23"/>
      <c r="Q137" s="23"/>
      <c r="R137" s="23"/>
      <c r="S137" s="23" t="s">
        <v>64</v>
      </c>
      <c r="T137" s="23"/>
      <c r="U137" s="23" t="s">
        <v>54</v>
      </c>
      <c r="V137" s="23"/>
      <c r="W137" s="31">
        <v>2.16</v>
      </c>
      <c r="Y137" t="s">
        <v>40</v>
      </c>
      <c r="Z137" t="s">
        <v>53</v>
      </c>
      <c r="AA137" t="s">
        <v>51</v>
      </c>
      <c r="AB137" t="s">
        <v>72</v>
      </c>
      <c r="AF137" t="s">
        <v>1437</v>
      </c>
      <c r="AG137" t="s">
        <v>58</v>
      </c>
      <c r="BX137" t="s">
        <v>349</v>
      </c>
    </row>
    <row r="138" spans="1:98" s="79" customFormat="1">
      <c r="A138" s="80" t="s">
        <v>375</v>
      </c>
      <c r="B138" s="80" t="s">
        <v>220</v>
      </c>
      <c r="C138" s="81">
        <v>1</v>
      </c>
      <c r="D138" s="81">
        <v>28500</v>
      </c>
      <c r="E138" s="81">
        <v>1</v>
      </c>
      <c r="F138" s="81">
        <v>0.04</v>
      </c>
      <c r="G138" s="81" t="s">
        <v>89</v>
      </c>
      <c r="H138" s="81">
        <v>200</v>
      </c>
      <c r="I138" s="81" t="s">
        <v>85</v>
      </c>
      <c r="J138" s="81">
        <v>200</v>
      </c>
      <c r="K138" s="81" t="s">
        <v>351</v>
      </c>
      <c r="L138" s="81" t="s">
        <v>348</v>
      </c>
      <c r="M138" s="81"/>
      <c r="N138" s="81"/>
      <c r="O138" s="23"/>
      <c r="P138" s="23"/>
      <c r="Q138" s="23"/>
      <c r="R138" s="23"/>
      <c r="S138" s="23" t="s">
        <v>64</v>
      </c>
      <c r="T138" s="23"/>
      <c r="U138" s="23" t="s">
        <v>87</v>
      </c>
      <c r="V138" s="23"/>
      <c r="W138" s="82">
        <v>0</v>
      </c>
      <c r="Y138" s="79" t="s">
        <v>161</v>
      </c>
      <c r="Z138" s="79" t="s">
        <v>53</v>
      </c>
      <c r="AA138" s="79" t="s">
        <v>51</v>
      </c>
      <c r="AB138" s="79" t="s">
        <v>72</v>
      </c>
      <c r="AF138" s="79" t="s">
        <v>1437</v>
      </c>
      <c r="AG138" s="79" t="s">
        <v>58</v>
      </c>
      <c r="AI138" s="79" t="str">
        <f t="shared" ref="AI138:AI139" si="16">BY138&amp;"_"&amp;CB138&amp;"_"&amp;L138&amp;"_p"&amp;C138&amp;"_"&amp;E138&amp;"st_"&amp;AK138&amp;"_"&amp;RIGHT(AG138,4)&amp;"_"&amp;AL138</f>
        <v>6_S235_SL40035905_p1_1st_S_2050_1</v>
      </c>
      <c r="AK138" s="79" t="s">
        <v>19</v>
      </c>
      <c r="AL138" s="79">
        <v>1</v>
      </c>
      <c r="AM138" s="79" t="s">
        <v>1675</v>
      </c>
      <c r="AO138"/>
      <c r="AP138"/>
      <c r="AQ138"/>
      <c r="AR138"/>
      <c r="AS138"/>
      <c r="AT138"/>
      <c r="AU138"/>
      <c r="AV138"/>
      <c r="AW138"/>
      <c r="AX138"/>
      <c r="AY138"/>
      <c r="AZ138" s="83" t="s">
        <v>1511</v>
      </c>
      <c r="BA138" s="83" t="s">
        <v>1512</v>
      </c>
      <c r="BX138" s="79" t="s">
        <v>1691</v>
      </c>
      <c r="BY138" s="79">
        <v>6</v>
      </c>
      <c r="BZ138" s="79" t="s">
        <v>1692</v>
      </c>
      <c r="CA138" s="79" t="s">
        <v>1736</v>
      </c>
      <c r="CB138" s="79" t="s">
        <v>1895</v>
      </c>
      <c r="CG138" s="79">
        <v>6</v>
      </c>
      <c r="CH138" s="79" t="s">
        <v>1895</v>
      </c>
      <c r="CI138" s="79" t="s">
        <v>348</v>
      </c>
      <c r="CJ138" s="79" t="s">
        <v>1898</v>
      </c>
      <c r="CK138" s="79" t="s">
        <v>1902</v>
      </c>
      <c r="CL138" s="79" t="s">
        <v>19</v>
      </c>
      <c r="CM138" s="79">
        <v>9184</v>
      </c>
      <c r="CR138" s="79" t="s">
        <v>1978</v>
      </c>
      <c r="CT138" s="79" t="s">
        <v>19</v>
      </c>
    </row>
    <row r="139" spans="1:98" s="79" customFormat="1">
      <c r="A139" s="80" t="s">
        <v>376</v>
      </c>
      <c r="B139" s="80" t="s">
        <v>220</v>
      </c>
      <c r="C139" s="81">
        <v>2</v>
      </c>
      <c r="D139" s="81">
        <v>28500</v>
      </c>
      <c r="E139" s="81">
        <v>1</v>
      </c>
      <c r="F139" s="81">
        <v>1.4999999999999999E-2</v>
      </c>
      <c r="G139" s="81" t="s">
        <v>89</v>
      </c>
      <c r="H139" s="81">
        <v>200</v>
      </c>
      <c r="I139" s="81" t="s">
        <v>85</v>
      </c>
      <c r="J139" s="81">
        <v>75</v>
      </c>
      <c r="K139" s="81" t="s">
        <v>351</v>
      </c>
      <c r="L139" s="81" t="s">
        <v>348</v>
      </c>
      <c r="M139" s="81"/>
      <c r="N139" s="81"/>
      <c r="O139" s="23"/>
      <c r="P139" s="23"/>
      <c r="Q139" s="23"/>
      <c r="R139" s="23"/>
      <c r="S139" s="23" t="s">
        <v>64</v>
      </c>
      <c r="T139" s="23"/>
      <c r="U139" s="23" t="s">
        <v>87</v>
      </c>
      <c r="V139" s="23"/>
      <c r="W139" s="82">
        <v>0</v>
      </c>
      <c r="Y139" s="79" t="s">
        <v>161</v>
      </c>
      <c r="Z139" s="79" t="s">
        <v>53</v>
      </c>
      <c r="AA139" s="79" t="s">
        <v>51</v>
      </c>
      <c r="AB139" s="79" t="s">
        <v>72</v>
      </c>
      <c r="AF139" s="79" t="s">
        <v>1437</v>
      </c>
      <c r="AG139" s="79" t="s">
        <v>58</v>
      </c>
      <c r="AI139" s="79" t="str">
        <f t="shared" si="16"/>
        <v>6_S235_SL40035905_p2_1st_S_2050_1</v>
      </c>
      <c r="AK139" s="79" t="s">
        <v>19</v>
      </c>
      <c r="AL139" s="79">
        <v>1</v>
      </c>
      <c r="AM139" s="79" t="s">
        <v>1675</v>
      </c>
      <c r="AO139"/>
      <c r="AP139"/>
      <c r="AQ139"/>
      <c r="AR139"/>
      <c r="AS139"/>
      <c r="AT139"/>
      <c r="AU139"/>
      <c r="AV139"/>
      <c r="AW139"/>
      <c r="AX139"/>
      <c r="AY139"/>
      <c r="AZ139" s="83" t="s">
        <v>1513</v>
      </c>
      <c r="BA139" s="83" t="s">
        <v>1514</v>
      </c>
      <c r="BX139" s="79" t="s">
        <v>1691</v>
      </c>
      <c r="BY139" s="79">
        <v>6</v>
      </c>
      <c r="BZ139" s="79" t="s">
        <v>1692</v>
      </c>
      <c r="CA139" s="79" t="s">
        <v>1736</v>
      </c>
      <c r="CB139" s="79" t="s">
        <v>1895</v>
      </c>
      <c r="CG139" s="79">
        <v>6</v>
      </c>
      <c r="CH139" s="79" t="s">
        <v>1895</v>
      </c>
      <c r="CI139" s="79" t="s">
        <v>348</v>
      </c>
      <c r="CJ139" s="79" t="s">
        <v>1901</v>
      </c>
      <c r="CK139" s="79" t="s">
        <v>1902</v>
      </c>
      <c r="CL139" s="79" t="s">
        <v>19</v>
      </c>
      <c r="CM139" s="79">
        <v>9184</v>
      </c>
      <c r="CR139" s="79" t="s">
        <v>1979</v>
      </c>
      <c r="CT139" s="79" t="s">
        <v>19</v>
      </c>
    </row>
    <row r="140" spans="1:98" hidden="1">
      <c r="A140" s="32" t="s">
        <v>377</v>
      </c>
      <c r="B140" s="32" t="s">
        <v>220</v>
      </c>
      <c r="C140" s="23">
        <v>101</v>
      </c>
      <c r="D140" s="23">
        <v>542200</v>
      </c>
      <c r="E140" s="23">
        <v>2</v>
      </c>
      <c r="F140" s="23"/>
      <c r="G140" s="23" t="s">
        <v>52</v>
      </c>
      <c r="H140" s="23" t="s">
        <v>354</v>
      </c>
      <c r="I140" s="23"/>
      <c r="J140" s="23"/>
      <c r="K140" s="23" t="s">
        <v>355</v>
      </c>
      <c r="L140" s="23" t="s">
        <v>348</v>
      </c>
      <c r="M140" s="23"/>
      <c r="N140" s="23"/>
      <c r="O140" s="23"/>
      <c r="P140" s="23"/>
      <c r="Q140" s="23"/>
      <c r="R140" s="23"/>
      <c r="S140" s="23" t="s">
        <v>64</v>
      </c>
      <c r="T140" s="23"/>
      <c r="U140" s="23" t="s">
        <v>17</v>
      </c>
      <c r="V140" s="23"/>
      <c r="W140" s="33">
        <v>0.1</v>
      </c>
      <c r="Y140" t="s">
        <v>124</v>
      </c>
      <c r="Z140" t="s">
        <v>53</v>
      </c>
      <c r="AA140" t="s">
        <v>51</v>
      </c>
      <c r="AB140" t="s">
        <v>72</v>
      </c>
      <c r="AF140" t="s">
        <v>1437</v>
      </c>
      <c r="AG140" t="s">
        <v>58</v>
      </c>
      <c r="BX140" t="s">
        <v>1713</v>
      </c>
      <c r="BY140" t="s">
        <v>354</v>
      </c>
      <c r="BZ140" t="s">
        <v>1714</v>
      </c>
      <c r="CA140" s="76">
        <v>46242</v>
      </c>
      <c r="CB140" t="s">
        <v>1715</v>
      </c>
      <c r="CC140" t="s">
        <v>1716</v>
      </c>
    </row>
    <row r="141" spans="1:98" hidden="1">
      <c r="A141" s="32" t="s">
        <v>378</v>
      </c>
      <c r="B141" s="32" t="s">
        <v>220</v>
      </c>
      <c r="C141" s="23">
        <v>102</v>
      </c>
      <c r="D141" s="23">
        <v>28506600</v>
      </c>
      <c r="E141" s="23">
        <v>2</v>
      </c>
      <c r="F141" s="23"/>
      <c r="G141" s="23" t="s">
        <v>52</v>
      </c>
      <c r="H141" s="23" t="s">
        <v>357</v>
      </c>
      <c r="I141" s="23"/>
      <c r="J141" s="23"/>
      <c r="K141" s="23" t="s">
        <v>358</v>
      </c>
      <c r="L141" s="23" t="s">
        <v>348</v>
      </c>
      <c r="M141" s="23"/>
      <c r="N141" s="23"/>
      <c r="O141" s="23"/>
      <c r="P141" s="23"/>
      <c r="Q141" s="23"/>
      <c r="R141" s="23"/>
      <c r="S141" s="23" t="s">
        <v>64</v>
      </c>
      <c r="T141" s="23"/>
      <c r="U141" s="23" t="s">
        <v>17</v>
      </c>
      <c r="V141" s="23"/>
      <c r="W141" s="33">
        <v>3.3000000000000002E-2</v>
      </c>
      <c r="Y141" t="s">
        <v>124</v>
      </c>
      <c r="Z141" t="s">
        <v>53</v>
      </c>
      <c r="AA141" t="s">
        <v>51</v>
      </c>
      <c r="AB141" t="s">
        <v>72</v>
      </c>
      <c r="AF141" t="s">
        <v>1437</v>
      </c>
      <c r="AG141" t="s">
        <v>58</v>
      </c>
      <c r="BX141" t="s">
        <v>1717</v>
      </c>
      <c r="BY141" t="s">
        <v>357</v>
      </c>
      <c r="BZ141" t="s">
        <v>1718</v>
      </c>
      <c r="CA141">
        <v>8</v>
      </c>
      <c r="CB141" t="s">
        <v>1715</v>
      </c>
      <c r="CC141" t="s">
        <v>1716</v>
      </c>
    </row>
    <row r="142" spans="1:98" hidden="1">
      <c r="A142" s="32" t="s">
        <v>379</v>
      </c>
      <c r="B142" s="32" t="s">
        <v>220</v>
      </c>
      <c r="C142" s="23">
        <v>103</v>
      </c>
      <c r="D142" s="23">
        <v>5115300</v>
      </c>
      <c r="E142" s="23">
        <v>4</v>
      </c>
      <c r="F142" s="23"/>
      <c r="G142" s="23" t="s">
        <v>52</v>
      </c>
      <c r="H142" s="23">
        <v>17</v>
      </c>
      <c r="I142" s="23"/>
      <c r="J142" s="23"/>
      <c r="K142" s="23" t="s">
        <v>171</v>
      </c>
      <c r="L142" s="23" t="s">
        <v>348</v>
      </c>
      <c r="M142" s="23"/>
      <c r="N142" s="23"/>
      <c r="O142" s="23"/>
      <c r="P142" s="23"/>
      <c r="Q142" s="23"/>
      <c r="R142" s="23"/>
      <c r="S142" s="23" t="s">
        <v>64</v>
      </c>
      <c r="T142" s="23"/>
      <c r="U142" s="23" t="s">
        <v>17</v>
      </c>
      <c r="V142" s="23"/>
      <c r="W142" s="33">
        <v>1.0999999999999999E-2</v>
      </c>
      <c r="Y142" t="s">
        <v>124</v>
      </c>
      <c r="Z142" t="s">
        <v>53</v>
      </c>
      <c r="AA142" t="s">
        <v>51</v>
      </c>
      <c r="AB142" t="s">
        <v>72</v>
      </c>
      <c r="AF142" t="s">
        <v>1437</v>
      </c>
      <c r="AG142" t="s">
        <v>58</v>
      </c>
      <c r="BX142" t="s">
        <v>1719</v>
      </c>
      <c r="BY142" t="s">
        <v>1739</v>
      </c>
      <c r="BZ142" t="s">
        <v>1720</v>
      </c>
      <c r="CB142" t="s">
        <v>1721</v>
      </c>
    </row>
    <row r="143" spans="1:98" hidden="1">
      <c r="A143" s="29" t="s">
        <v>380</v>
      </c>
      <c r="B143" s="29" t="s">
        <v>83</v>
      </c>
      <c r="C143" s="30">
        <v>2</v>
      </c>
      <c r="D143" s="30" t="s">
        <v>381</v>
      </c>
      <c r="E143" s="30">
        <v>1</v>
      </c>
      <c r="F143" s="30"/>
      <c r="G143" s="30" t="s">
        <v>52</v>
      </c>
      <c r="H143" s="30"/>
      <c r="I143" s="30"/>
      <c r="J143" s="30"/>
      <c r="K143" s="30" t="s">
        <v>382</v>
      </c>
      <c r="L143" s="30" t="s">
        <v>381</v>
      </c>
      <c r="M143" s="30">
        <v>3</v>
      </c>
      <c r="N143" s="30"/>
      <c r="O143" s="23"/>
      <c r="P143" s="23"/>
      <c r="Q143" s="23"/>
      <c r="R143" s="23"/>
      <c r="S143" s="23" t="s">
        <v>64</v>
      </c>
      <c r="T143" s="23"/>
      <c r="U143" s="23" t="s">
        <v>54</v>
      </c>
      <c r="V143" s="23"/>
      <c r="W143" s="31">
        <v>1.181</v>
      </c>
      <c r="Y143" t="s">
        <v>40</v>
      </c>
      <c r="Z143" t="s">
        <v>53</v>
      </c>
      <c r="AA143" t="s">
        <v>51</v>
      </c>
      <c r="AB143" t="s">
        <v>72</v>
      </c>
      <c r="AF143" t="s">
        <v>1437</v>
      </c>
      <c r="AG143" t="s">
        <v>58</v>
      </c>
      <c r="BX143" t="s">
        <v>382</v>
      </c>
    </row>
    <row r="144" spans="1:98" hidden="1">
      <c r="A144" s="32" t="s">
        <v>383</v>
      </c>
      <c r="B144" s="32" t="s">
        <v>220</v>
      </c>
      <c r="C144" s="23">
        <v>1</v>
      </c>
      <c r="D144" s="23">
        <v>739600</v>
      </c>
      <c r="E144" s="23">
        <v>1</v>
      </c>
      <c r="F144" s="23">
        <v>35</v>
      </c>
      <c r="G144" s="23" t="s">
        <v>85</v>
      </c>
      <c r="H144" s="23">
        <v>35</v>
      </c>
      <c r="I144" s="23" t="s">
        <v>85</v>
      </c>
      <c r="J144" s="23">
        <v>0</v>
      </c>
      <c r="K144" s="23" t="s">
        <v>364</v>
      </c>
      <c r="L144" s="23" t="s">
        <v>381</v>
      </c>
      <c r="M144" s="23"/>
      <c r="N144" s="23"/>
      <c r="O144" s="23"/>
      <c r="P144" s="23"/>
      <c r="Q144" s="23"/>
      <c r="R144" s="23"/>
      <c r="S144" s="23" t="s">
        <v>64</v>
      </c>
      <c r="T144" s="23"/>
      <c r="U144" s="23" t="s">
        <v>87</v>
      </c>
      <c r="V144" s="23"/>
      <c r="W144" s="33">
        <v>0</v>
      </c>
      <c r="Y144" t="s">
        <v>365</v>
      </c>
      <c r="Z144" t="s">
        <v>53</v>
      </c>
      <c r="AA144" t="s">
        <v>51</v>
      </c>
      <c r="AB144" t="s">
        <v>72</v>
      </c>
      <c r="AF144" t="s">
        <v>1437</v>
      </c>
      <c r="AG144" t="s">
        <v>58</v>
      </c>
      <c r="BX144" t="s">
        <v>1687</v>
      </c>
      <c r="BY144" t="s">
        <v>1755</v>
      </c>
      <c r="BZ144" t="s">
        <v>1756</v>
      </c>
      <c r="CA144" t="s">
        <v>1757</v>
      </c>
    </row>
    <row r="145" spans="1:98" s="79" customFormat="1">
      <c r="A145" s="80" t="s">
        <v>384</v>
      </c>
      <c r="B145" s="80" t="s">
        <v>220</v>
      </c>
      <c r="C145" s="81">
        <v>2</v>
      </c>
      <c r="D145" s="81">
        <v>3100</v>
      </c>
      <c r="E145" s="81">
        <v>1</v>
      </c>
      <c r="F145" s="81">
        <v>2E-3</v>
      </c>
      <c r="G145" s="81" t="s">
        <v>89</v>
      </c>
      <c r="H145" s="81">
        <v>60</v>
      </c>
      <c r="I145" s="81" t="s">
        <v>85</v>
      </c>
      <c r="J145" s="81">
        <v>35</v>
      </c>
      <c r="K145" s="81" t="s">
        <v>385</v>
      </c>
      <c r="L145" s="81" t="s">
        <v>381</v>
      </c>
      <c r="M145" s="81"/>
      <c r="N145" s="81"/>
      <c r="O145" s="23"/>
      <c r="P145" s="23"/>
      <c r="Q145" s="23"/>
      <c r="R145" s="23"/>
      <c r="S145" s="23" t="s">
        <v>64</v>
      </c>
      <c r="T145" s="23"/>
      <c r="U145" s="23" t="s">
        <v>87</v>
      </c>
      <c r="V145" s="23"/>
      <c r="W145" s="82">
        <v>0</v>
      </c>
      <c r="Y145" s="79" t="s">
        <v>161</v>
      </c>
      <c r="Z145" s="79" t="s">
        <v>53</v>
      </c>
      <c r="AA145" s="79" t="s">
        <v>51</v>
      </c>
      <c r="AB145" s="79" t="s">
        <v>72</v>
      </c>
      <c r="AF145" s="79" t="s">
        <v>1437</v>
      </c>
      <c r="AG145" s="79" t="s">
        <v>58</v>
      </c>
      <c r="AI145" s="79" t="str">
        <f>BY145&amp;"_"&amp;CB145&amp;"_"&amp;L145&amp;"_p"&amp;C145&amp;"_"&amp;E145&amp;"st_"&amp;AK145&amp;"_"&amp;RIGHT(AG145,4)&amp;"_"&amp;AL145</f>
        <v>10_S235_SL40035907_p2_1st_S_2050_</v>
      </c>
      <c r="AK145" s="79" t="s">
        <v>19</v>
      </c>
      <c r="AM145" s="79" t="s">
        <v>1675</v>
      </c>
      <c r="AO145"/>
      <c r="AP145"/>
      <c r="AQ145"/>
      <c r="AR145"/>
      <c r="AS145"/>
      <c r="AT145"/>
      <c r="AU145"/>
      <c r="AV145"/>
      <c r="AW145"/>
      <c r="AX145"/>
      <c r="AY145"/>
      <c r="AZ145" s="83" t="s">
        <v>1515</v>
      </c>
      <c r="BA145" s="83" t="s">
        <v>1516</v>
      </c>
      <c r="BX145" s="79" t="s">
        <v>1691</v>
      </c>
      <c r="BY145" s="79">
        <v>10</v>
      </c>
      <c r="BZ145" s="79" t="s">
        <v>1692</v>
      </c>
      <c r="CA145" s="79" t="s">
        <v>1736</v>
      </c>
      <c r="CB145" s="79" t="s">
        <v>1895</v>
      </c>
      <c r="CG145" s="79">
        <v>10</v>
      </c>
      <c r="CH145" s="79" t="s">
        <v>1895</v>
      </c>
      <c r="CI145" s="79" t="s">
        <v>381</v>
      </c>
      <c r="CJ145" s="79" t="s">
        <v>1901</v>
      </c>
      <c r="CK145" s="79" t="s">
        <v>1902</v>
      </c>
      <c r="CL145" s="79" t="s">
        <v>19</v>
      </c>
      <c r="CM145" s="79">
        <v>9184</v>
      </c>
      <c r="CR145" s="79" t="s">
        <v>1980</v>
      </c>
      <c r="CT145" s="79" t="s">
        <v>19</v>
      </c>
    </row>
    <row r="146" spans="1:98" hidden="1">
      <c r="A146" s="32" t="s">
        <v>386</v>
      </c>
      <c r="B146" s="32" t="s">
        <v>220</v>
      </c>
      <c r="C146" s="23">
        <v>101</v>
      </c>
      <c r="D146" s="23">
        <v>4361000</v>
      </c>
      <c r="E146" s="23">
        <v>1</v>
      </c>
      <c r="F146" s="23"/>
      <c r="G146" s="23" t="s">
        <v>52</v>
      </c>
      <c r="H146" s="23" t="s">
        <v>387</v>
      </c>
      <c r="I146" s="23"/>
      <c r="J146" s="23"/>
      <c r="K146" s="23" t="s">
        <v>388</v>
      </c>
      <c r="L146" s="23" t="s">
        <v>381</v>
      </c>
      <c r="M146" s="23"/>
      <c r="N146" s="23"/>
      <c r="O146" s="23"/>
      <c r="P146" s="23"/>
      <c r="Q146" s="23"/>
      <c r="R146" s="23"/>
      <c r="S146" s="23" t="s">
        <v>64</v>
      </c>
      <c r="T146" s="23"/>
      <c r="U146" s="23" t="s">
        <v>17</v>
      </c>
      <c r="V146" s="23"/>
      <c r="W146" s="33">
        <v>0.19700000000000001</v>
      </c>
      <c r="Y146" t="s">
        <v>124</v>
      </c>
      <c r="Z146" t="s">
        <v>53</v>
      </c>
      <c r="AA146" t="s">
        <v>51</v>
      </c>
      <c r="AB146" t="s">
        <v>72</v>
      </c>
      <c r="AF146" t="s">
        <v>1437</v>
      </c>
      <c r="AG146" t="s">
        <v>58</v>
      </c>
      <c r="BX146" t="s">
        <v>1713</v>
      </c>
      <c r="BY146" t="s">
        <v>387</v>
      </c>
      <c r="BZ146" t="s">
        <v>1714</v>
      </c>
      <c r="CA146" s="76">
        <v>46242</v>
      </c>
      <c r="CB146" t="s">
        <v>1740</v>
      </c>
    </row>
    <row r="147" spans="1:98" hidden="1">
      <c r="A147" s="32" t="s">
        <v>389</v>
      </c>
      <c r="B147" s="32" t="s">
        <v>220</v>
      </c>
      <c r="C147" s="23">
        <v>102</v>
      </c>
      <c r="D147" s="23">
        <v>2792900</v>
      </c>
      <c r="E147" s="23">
        <v>3</v>
      </c>
      <c r="F147" s="23"/>
      <c r="G147" s="23" t="s">
        <v>52</v>
      </c>
      <c r="H147" s="23" t="s">
        <v>357</v>
      </c>
      <c r="I147" s="23"/>
      <c r="J147" s="23"/>
      <c r="K147" s="23" t="s">
        <v>390</v>
      </c>
      <c r="L147" s="23" t="s">
        <v>381</v>
      </c>
      <c r="M147" s="23"/>
      <c r="N147" s="23"/>
      <c r="O147" s="23"/>
      <c r="P147" s="23"/>
      <c r="Q147" s="23"/>
      <c r="R147" s="23"/>
      <c r="S147" s="23" t="s">
        <v>64</v>
      </c>
      <c r="T147" s="23"/>
      <c r="U147" s="23" t="s">
        <v>17</v>
      </c>
      <c r="V147" s="23"/>
      <c r="W147" s="33">
        <v>0.02</v>
      </c>
      <c r="Y147" t="s">
        <v>124</v>
      </c>
      <c r="Z147" t="s">
        <v>53</v>
      </c>
      <c r="AA147" t="s">
        <v>51</v>
      </c>
      <c r="AB147" t="s">
        <v>72</v>
      </c>
      <c r="AF147" t="s">
        <v>1437</v>
      </c>
      <c r="AG147" t="s">
        <v>58</v>
      </c>
      <c r="BX147" t="s">
        <v>1717</v>
      </c>
      <c r="BY147" t="s">
        <v>357</v>
      </c>
      <c r="BZ147" t="s">
        <v>1762</v>
      </c>
      <c r="CA147">
        <v>4</v>
      </c>
      <c r="CB147" t="s">
        <v>1740</v>
      </c>
    </row>
    <row r="148" spans="1:98" hidden="1">
      <c r="A148" s="32" t="s">
        <v>391</v>
      </c>
      <c r="B148" s="32" t="s">
        <v>220</v>
      </c>
      <c r="C148" s="23">
        <v>103</v>
      </c>
      <c r="D148" s="23">
        <v>5115300</v>
      </c>
      <c r="E148" s="23">
        <v>2</v>
      </c>
      <c r="F148" s="23"/>
      <c r="G148" s="23" t="s">
        <v>52</v>
      </c>
      <c r="H148" s="23">
        <v>17</v>
      </c>
      <c r="I148" s="23"/>
      <c r="J148" s="23"/>
      <c r="K148" s="23" t="s">
        <v>171</v>
      </c>
      <c r="L148" s="23" t="s">
        <v>381</v>
      </c>
      <c r="M148" s="23"/>
      <c r="N148" s="23"/>
      <c r="O148" s="23"/>
      <c r="P148" s="23"/>
      <c r="Q148" s="23"/>
      <c r="R148" s="23"/>
      <c r="S148" s="23" t="s">
        <v>64</v>
      </c>
      <c r="T148" s="23"/>
      <c r="U148" s="23" t="s">
        <v>17</v>
      </c>
      <c r="V148" s="23"/>
      <c r="W148" s="33">
        <v>1.0999999999999999E-2</v>
      </c>
      <c r="Y148" t="s">
        <v>124</v>
      </c>
      <c r="Z148" t="s">
        <v>53</v>
      </c>
      <c r="AA148" t="s">
        <v>51</v>
      </c>
      <c r="AB148" t="s">
        <v>72</v>
      </c>
      <c r="AF148" t="s">
        <v>1437</v>
      </c>
      <c r="AG148" t="s">
        <v>58</v>
      </c>
      <c r="BX148" t="s">
        <v>1719</v>
      </c>
      <c r="BY148" t="s">
        <v>1739</v>
      </c>
      <c r="BZ148" t="s">
        <v>1720</v>
      </c>
      <c r="CB148" t="s">
        <v>1721</v>
      </c>
    </row>
    <row r="149" spans="1:98" hidden="1">
      <c r="A149" s="32" t="s">
        <v>392</v>
      </c>
      <c r="B149" s="32" t="s">
        <v>220</v>
      </c>
      <c r="C149" s="23">
        <v>104</v>
      </c>
      <c r="D149" s="23">
        <v>404300</v>
      </c>
      <c r="E149" s="23">
        <v>2</v>
      </c>
      <c r="F149" s="23"/>
      <c r="G149" s="23" t="s">
        <v>52</v>
      </c>
      <c r="H149" s="23" t="s">
        <v>275</v>
      </c>
      <c r="I149" s="23"/>
      <c r="J149" s="23"/>
      <c r="K149" s="23" t="s">
        <v>367</v>
      </c>
      <c r="L149" s="23" t="s">
        <v>381</v>
      </c>
      <c r="M149" s="23"/>
      <c r="N149" s="23"/>
      <c r="O149" s="23"/>
      <c r="P149" s="23"/>
      <c r="Q149" s="23"/>
      <c r="R149" s="23"/>
      <c r="S149" s="23" t="s">
        <v>64</v>
      </c>
      <c r="T149" s="23"/>
      <c r="U149" s="23" t="s">
        <v>17</v>
      </c>
      <c r="V149" s="23"/>
      <c r="W149" s="33">
        <v>1.2999999999999999E-2</v>
      </c>
      <c r="Y149" t="s">
        <v>124</v>
      </c>
      <c r="Z149" t="s">
        <v>53</v>
      </c>
      <c r="AA149" t="s">
        <v>51</v>
      </c>
      <c r="AB149" t="s">
        <v>72</v>
      </c>
      <c r="AF149" t="s">
        <v>1437</v>
      </c>
      <c r="AG149" t="s">
        <v>58</v>
      </c>
      <c r="BX149" t="s">
        <v>1717</v>
      </c>
      <c r="BY149" t="s">
        <v>1758</v>
      </c>
      <c r="BZ149" t="s">
        <v>1759</v>
      </c>
      <c r="CA149" t="s">
        <v>1760</v>
      </c>
      <c r="CB149" t="s">
        <v>1761</v>
      </c>
    </row>
    <row r="150" spans="1:98" hidden="1">
      <c r="A150" s="32" t="s">
        <v>393</v>
      </c>
      <c r="B150" s="32" t="s">
        <v>220</v>
      </c>
      <c r="C150" s="23">
        <v>105</v>
      </c>
      <c r="D150" s="23">
        <v>24379100</v>
      </c>
      <c r="E150" s="23">
        <v>2</v>
      </c>
      <c r="F150" s="23"/>
      <c r="G150" s="23" t="s">
        <v>52</v>
      </c>
      <c r="H150" s="23" t="s">
        <v>272</v>
      </c>
      <c r="I150" s="23"/>
      <c r="J150" s="23"/>
      <c r="K150" s="23" t="s">
        <v>273</v>
      </c>
      <c r="L150" s="23" t="s">
        <v>381</v>
      </c>
      <c r="M150" s="23"/>
      <c r="N150" s="23"/>
      <c r="O150" s="23"/>
      <c r="P150" s="23"/>
      <c r="Q150" s="23"/>
      <c r="R150" s="23"/>
      <c r="S150" s="23" t="s">
        <v>64</v>
      </c>
      <c r="T150" s="23"/>
      <c r="U150" s="23" t="s">
        <v>17</v>
      </c>
      <c r="V150" s="23"/>
      <c r="W150" s="33">
        <v>4.1000000000000002E-2</v>
      </c>
      <c r="Y150" t="s">
        <v>124</v>
      </c>
      <c r="Z150" t="s">
        <v>53</v>
      </c>
      <c r="AA150" t="s">
        <v>51</v>
      </c>
      <c r="AB150" t="s">
        <v>72</v>
      </c>
      <c r="AF150" t="s">
        <v>1437</v>
      </c>
      <c r="AG150" t="s">
        <v>58</v>
      </c>
      <c r="BX150" t="s">
        <v>1713</v>
      </c>
      <c r="BY150" t="s">
        <v>272</v>
      </c>
      <c r="BZ150" t="s">
        <v>1714</v>
      </c>
      <c r="CA150" s="76">
        <v>46242</v>
      </c>
      <c r="CB150" t="s">
        <v>1715</v>
      </c>
      <c r="CC150" t="s">
        <v>1716</v>
      </c>
    </row>
    <row r="151" spans="1:98" hidden="1">
      <c r="A151" s="32" t="s">
        <v>394</v>
      </c>
      <c r="B151" s="32" t="s">
        <v>220</v>
      </c>
      <c r="C151" s="23">
        <v>106</v>
      </c>
      <c r="D151" s="23">
        <v>2282100</v>
      </c>
      <c r="E151" s="23">
        <v>2</v>
      </c>
      <c r="F151" s="23"/>
      <c r="G151" s="23" t="s">
        <v>52</v>
      </c>
      <c r="H151" s="23" t="s">
        <v>275</v>
      </c>
      <c r="I151" s="23"/>
      <c r="J151" s="23"/>
      <c r="K151" s="23" t="s">
        <v>370</v>
      </c>
      <c r="L151" s="23" t="s">
        <v>381</v>
      </c>
      <c r="M151" s="23"/>
      <c r="N151" s="23"/>
      <c r="O151" s="23"/>
      <c r="P151" s="23"/>
      <c r="Q151" s="23"/>
      <c r="R151" s="23"/>
      <c r="S151" s="23" t="s">
        <v>64</v>
      </c>
      <c r="T151" s="23"/>
      <c r="U151" s="23" t="s">
        <v>17</v>
      </c>
      <c r="V151" s="23"/>
      <c r="W151" s="33">
        <v>0.06</v>
      </c>
      <c r="Y151" t="s">
        <v>124</v>
      </c>
      <c r="Z151" t="s">
        <v>53</v>
      </c>
      <c r="AA151" t="s">
        <v>51</v>
      </c>
      <c r="AB151" t="s">
        <v>72</v>
      </c>
      <c r="AF151" t="s">
        <v>1437</v>
      </c>
      <c r="AG151" t="s">
        <v>58</v>
      </c>
      <c r="BX151" t="s">
        <v>1717</v>
      </c>
      <c r="BY151" t="s">
        <v>275</v>
      </c>
      <c r="BZ151" t="s">
        <v>1762</v>
      </c>
      <c r="CA151">
        <v>4</v>
      </c>
      <c r="CB151" t="s">
        <v>1740</v>
      </c>
    </row>
    <row r="152" spans="1:98" hidden="1">
      <c r="A152" s="29" t="s">
        <v>395</v>
      </c>
      <c r="B152" s="29" t="s">
        <v>83</v>
      </c>
      <c r="C152" s="30">
        <v>3</v>
      </c>
      <c r="D152" s="30" t="s">
        <v>396</v>
      </c>
      <c r="E152" s="30">
        <v>1</v>
      </c>
      <c r="F152" s="30"/>
      <c r="G152" s="30" t="s">
        <v>52</v>
      </c>
      <c r="H152" s="30"/>
      <c r="I152" s="30"/>
      <c r="J152" s="30"/>
      <c r="K152" s="30" t="s">
        <v>397</v>
      </c>
      <c r="L152" s="30" t="s">
        <v>396</v>
      </c>
      <c r="M152" s="30">
        <v>4</v>
      </c>
      <c r="N152" s="30"/>
      <c r="O152" s="23"/>
      <c r="P152" s="23"/>
      <c r="Q152" s="23"/>
      <c r="R152" s="23"/>
      <c r="S152" s="23" t="s">
        <v>64</v>
      </c>
      <c r="T152" s="23"/>
      <c r="U152" s="23" t="s">
        <v>54</v>
      </c>
      <c r="V152" s="23"/>
      <c r="W152" s="31">
        <v>0.56699999999999995</v>
      </c>
      <c r="Y152" t="s">
        <v>40</v>
      </c>
      <c r="Z152" t="s">
        <v>53</v>
      </c>
      <c r="AA152" t="s">
        <v>51</v>
      </c>
      <c r="AB152" t="s">
        <v>72</v>
      </c>
      <c r="AF152" t="s">
        <v>1437</v>
      </c>
      <c r="AG152" t="s">
        <v>58</v>
      </c>
      <c r="BX152" t="s">
        <v>397</v>
      </c>
    </row>
    <row r="153" spans="1:98" hidden="1">
      <c r="A153" s="32" t="s">
        <v>398</v>
      </c>
      <c r="B153" s="32" t="s">
        <v>220</v>
      </c>
      <c r="C153" s="23">
        <v>1</v>
      </c>
      <c r="D153" s="23">
        <v>739600</v>
      </c>
      <c r="E153" s="23">
        <v>1</v>
      </c>
      <c r="F153" s="23">
        <v>25</v>
      </c>
      <c r="G153" s="23" t="s">
        <v>85</v>
      </c>
      <c r="H153" s="23">
        <v>25</v>
      </c>
      <c r="I153" s="23" t="s">
        <v>85</v>
      </c>
      <c r="J153" s="23">
        <v>0</v>
      </c>
      <c r="K153" s="23" t="s">
        <v>364</v>
      </c>
      <c r="L153" s="23" t="s">
        <v>396</v>
      </c>
      <c r="M153" s="23"/>
      <c r="N153" s="23"/>
      <c r="O153" s="23"/>
      <c r="P153" s="23"/>
      <c r="Q153" s="23"/>
      <c r="R153" s="23"/>
      <c r="S153" s="23" t="s">
        <v>64</v>
      </c>
      <c r="T153" s="23"/>
      <c r="U153" s="23" t="s">
        <v>87</v>
      </c>
      <c r="V153" s="23"/>
      <c r="W153" s="33">
        <v>0</v>
      </c>
      <c r="Y153" t="s">
        <v>365</v>
      </c>
      <c r="Z153" t="s">
        <v>53</v>
      </c>
      <c r="AA153" t="s">
        <v>51</v>
      </c>
      <c r="AB153" t="s">
        <v>72</v>
      </c>
      <c r="AF153" t="s">
        <v>1437</v>
      </c>
      <c r="AG153" t="s">
        <v>58</v>
      </c>
      <c r="BX153" t="s">
        <v>1687</v>
      </c>
      <c r="BY153" t="s">
        <v>1755</v>
      </c>
      <c r="BZ153" t="s">
        <v>1756</v>
      </c>
      <c r="CA153" t="s">
        <v>1757</v>
      </c>
    </row>
    <row r="154" spans="1:98" hidden="1">
      <c r="A154" s="32" t="s">
        <v>399</v>
      </c>
      <c r="B154" s="32" t="s">
        <v>220</v>
      </c>
      <c r="C154" s="23">
        <v>101</v>
      </c>
      <c r="D154" s="23">
        <v>404300</v>
      </c>
      <c r="E154" s="23">
        <v>2</v>
      </c>
      <c r="F154" s="23"/>
      <c r="G154" s="23" t="s">
        <v>52</v>
      </c>
      <c r="H154" s="23" t="s">
        <v>275</v>
      </c>
      <c r="I154" s="23"/>
      <c r="J154" s="23"/>
      <c r="K154" s="23" t="s">
        <v>367</v>
      </c>
      <c r="L154" s="23" t="s">
        <v>396</v>
      </c>
      <c r="M154" s="23"/>
      <c r="N154" s="23"/>
      <c r="O154" s="23"/>
      <c r="P154" s="23"/>
      <c r="Q154" s="23"/>
      <c r="R154" s="23"/>
      <c r="S154" s="23" t="s">
        <v>64</v>
      </c>
      <c r="T154" s="23"/>
      <c r="U154" s="23" t="s">
        <v>17</v>
      </c>
      <c r="V154" s="23"/>
      <c r="W154" s="33">
        <v>1.2999999999999999E-2</v>
      </c>
      <c r="Y154" t="s">
        <v>124</v>
      </c>
      <c r="Z154" t="s">
        <v>53</v>
      </c>
      <c r="AA154" t="s">
        <v>51</v>
      </c>
      <c r="AB154" t="s">
        <v>72</v>
      </c>
      <c r="AF154" t="s">
        <v>1437</v>
      </c>
      <c r="AG154" t="s">
        <v>58</v>
      </c>
      <c r="BX154" t="s">
        <v>1717</v>
      </c>
      <c r="BY154" t="s">
        <v>1758</v>
      </c>
      <c r="BZ154" t="s">
        <v>1759</v>
      </c>
      <c r="CA154" t="s">
        <v>1760</v>
      </c>
      <c r="CB154" t="s">
        <v>1761</v>
      </c>
    </row>
    <row r="155" spans="1:98" hidden="1">
      <c r="A155" s="32" t="s">
        <v>400</v>
      </c>
      <c r="B155" s="32" t="s">
        <v>220</v>
      </c>
      <c r="C155" s="23">
        <v>102</v>
      </c>
      <c r="D155" s="23">
        <v>24379100</v>
      </c>
      <c r="E155" s="23">
        <v>2</v>
      </c>
      <c r="F155" s="23"/>
      <c r="G155" s="23" t="s">
        <v>52</v>
      </c>
      <c r="H155" s="23" t="s">
        <v>272</v>
      </c>
      <c r="I155" s="23"/>
      <c r="J155" s="23"/>
      <c r="K155" s="23" t="s">
        <v>273</v>
      </c>
      <c r="L155" s="23" t="s">
        <v>396</v>
      </c>
      <c r="M155" s="23"/>
      <c r="N155" s="23"/>
      <c r="O155" s="23"/>
      <c r="P155" s="23"/>
      <c r="Q155" s="23"/>
      <c r="R155" s="23"/>
      <c r="S155" s="23" t="s">
        <v>64</v>
      </c>
      <c r="T155" s="23"/>
      <c r="U155" s="23" t="s">
        <v>17</v>
      </c>
      <c r="V155" s="23"/>
      <c r="W155" s="33">
        <v>4.1000000000000002E-2</v>
      </c>
      <c r="Y155" t="s">
        <v>124</v>
      </c>
      <c r="Z155" t="s">
        <v>53</v>
      </c>
      <c r="AA155" t="s">
        <v>51</v>
      </c>
      <c r="AB155" t="s">
        <v>72</v>
      </c>
      <c r="AF155" t="s">
        <v>1437</v>
      </c>
      <c r="AG155" t="s">
        <v>58</v>
      </c>
      <c r="BX155" t="s">
        <v>1713</v>
      </c>
      <c r="BY155" t="s">
        <v>272</v>
      </c>
      <c r="BZ155" t="s">
        <v>1714</v>
      </c>
      <c r="CA155" s="76">
        <v>46242</v>
      </c>
      <c r="CB155" t="s">
        <v>1715</v>
      </c>
      <c r="CC155" t="s">
        <v>1716</v>
      </c>
    </row>
    <row r="156" spans="1:98" hidden="1">
      <c r="A156" s="32" t="s">
        <v>401</v>
      </c>
      <c r="B156" s="32" t="s">
        <v>220</v>
      </c>
      <c r="C156" s="23">
        <v>103</v>
      </c>
      <c r="D156" s="23">
        <v>2282100</v>
      </c>
      <c r="E156" s="23">
        <v>2</v>
      </c>
      <c r="F156" s="23"/>
      <c r="G156" s="23" t="s">
        <v>52</v>
      </c>
      <c r="H156" s="23" t="s">
        <v>275</v>
      </c>
      <c r="I156" s="23"/>
      <c r="J156" s="23"/>
      <c r="K156" s="23" t="s">
        <v>370</v>
      </c>
      <c r="L156" s="23" t="s">
        <v>396</v>
      </c>
      <c r="M156" s="23"/>
      <c r="N156" s="23"/>
      <c r="O156" s="23"/>
      <c r="P156" s="23"/>
      <c r="Q156" s="23"/>
      <c r="R156" s="23"/>
      <c r="S156" s="23" t="s">
        <v>64</v>
      </c>
      <c r="T156" s="23"/>
      <c r="U156" s="23" t="s">
        <v>17</v>
      </c>
      <c r="V156" s="23"/>
      <c r="W156" s="33">
        <v>0.06</v>
      </c>
      <c r="Y156" t="s">
        <v>124</v>
      </c>
      <c r="Z156" t="s">
        <v>53</v>
      </c>
      <c r="AA156" t="s">
        <v>51</v>
      </c>
      <c r="AB156" t="s">
        <v>72</v>
      </c>
      <c r="AF156" t="s">
        <v>1437</v>
      </c>
      <c r="AG156" t="s">
        <v>58</v>
      </c>
      <c r="BX156" t="s">
        <v>1717</v>
      </c>
      <c r="BY156" t="s">
        <v>275</v>
      </c>
      <c r="BZ156" t="s">
        <v>1762</v>
      </c>
      <c r="CA156">
        <v>4</v>
      </c>
      <c r="CB156" t="s">
        <v>1740</v>
      </c>
    </row>
    <row r="157" spans="1:98" hidden="1">
      <c r="A157" s="29" t="s">
        <v>402</v>
      </c>
      <c r="B157" s="29" t="s">
        <v>74</v>
      </c>
      <c r="C157" s="30">
        <v>10</v>
      </c>
      <c r="D157" s="30" t="s">
        <v>403</v>
      </c>
      <c r="E157" s="30">
        <v>2</v>
      </c>
      <c r="F157" s="30"/>
      <c r="G157" s="30" t="s">
        <v>52</v>
      </c>
      <c r="H157" s="30"/>
      <c r="I157" s="30"/>
      <c r="J157" s="30"/>
      <c r="K157" s="30" t="s">
        <v>404</v>
      </c>
      <c r="L157" s="30" t="s">
        <v>403</v>
      </c>
      <c r="M157" s="30">
        <v>3</v>
      </c>
      <c r="N157" s="30"/>
      <c r="O157" s="23"/>
      <c r="P157" s="23"/>
      <c r="Q157" s="23"/>
      <c r="R157" s="23"/>
      <c r="S157" s="23" t="s">
        <v>64</v>
      </c>
      <c r="T157" s="23"/>
      <c r="U157" s="23" t="s">
        <v>54</v>
      </c>
      <c r="V157" s="23"/>
      <c r="W157" s="31">
        <v>1.377</v>
      </c>
      <c r="Y157" t="s">
        <v>40</v>
      </c>
      <c r="Z157" t="s">
        <v>53</v>
      </c>
      <c r="AA157" t="s">
        <v>51</v>
      </c>
      <c r="AB157" t="s">
        <v>72</v>
      </c>
      <c r="AF157" t="s">
        <v>1437</v>
      </c>
      <c r="AG157" t="s">
        <v>58</v>
      </c>
      <c r="BX157" t="s">
        <v>404</v>
      </c>
    </row>
    <row r="158" spans="1:98" hidden="1">
      <c r="A158" s="32" t="s">
        <v>405</v>
      </c>
      <c r="B158" s="32" t="s">
        <v>79</v>
      </c>
      <c r="C158" s="23">
        <v>1</v>
      </c>
      <c r="D158" s="23">
        <v>3374700</v>
      </c>
      <c r="E158" s="23">
        <v>2</v>
      </c>
      <c r="F158" s="23">
        <v>70</v>
      </c>
      <c r="G158" s="23" t="s">
        <v>85</v>
      </c>
      <c r="H158" s="23">
        <v>35</v>
      </c>
      <c r="I158" s="23" t="s">
        <v>85</v>
      </c>
      <c r="J158" s="23">
        <v>0</v>
      </c>
      <c r="K158" s="23" t="s">
        <v>406</v>
      </c>
      <c r="L158" s="23" t="s">
        <v>403</v>
      </c>
      <c r="M158" s="23"/>
      <c r="N158" s="23"/>
      <c r="O158" s="23"/>
      <c r="P158" s="23"/>
      <c r="Q158" s="23"/>
      <c r="R158" s="23"/>
      <c r="S158" s="23" t="s">
        <v>64</v>
      </c>
      <c r="T158" s="23"/>
      <c r="U158" s="23" t="s">
        <v>87</v>
      </c>
      <c r="V158" s="23"/>
      <c r="W158" s="33">
        <v>9.6999999999999993</v>
      </c>
      <c r="Y158" t="s">
        <v>365</v>
      </c>
      <c r="Z158" t="s">
        <v>53</v>
      </c>
      <c r="AA158" t="s">
        <v>51</v>
      </c>
      <c r="AB158" t="s">
        <v>72</v>
      </c>
      <c r="AF158" t="s">
        <v>1437</v>
      </c>
      <c r="AG158" t="s">
        <v>58</v>
      </c>
      <c r="BX158" t="s">
        <v>1687</v>
      </c>
      <c r="BY158" t="s">
        <v>1763</v>
      </c>
      <c r="BZ158" t="s">
        <v>1689</v>
      </c>
      <c r="CB158" t="s">
        <v>1690</v>
      </c>
    </row>
    <row r="159" spans="1:98" hidden="1">
      <c r="A159" s="32" t="s">
        <v>407</v>
      </c>
      <c r="B159" s="32" t="s">
        <v>79</v>
      </c>
      <c r="C159" s="23">
        <v>2</v>
      </c>
      <c r="D159" s="23">
        <v>4634400</v>
      </c>
      <c r="E159" s="23">
        <v>2</v>
      </c>
      <c r="F159" s="23">
        <v>0.30399999999999999</v>
      </c>
      <c r="G159" s="23" t="s">
        <v>408</v>
      </c>
      <c r="H159" s="23">
        <v>151</v>
      </c>
      <c r="I159" s="23" t="s">
        <v>85</v>
      </c>
      <c r="J159" s="23">
        <v>0</v>
      </c>
      <c r="K159" s="23" t="s">
        <v>409</v>
      </c>
      <c r="L159" s="23" t="s">
        <v>403</v>
      </c>
      <c r="M159" s="23"/>
      <c r="N159" s="23"/>
      <c r="O159" s="23"/>
      <c r="P159" s="23"/>
      <c r="Q159" s="23"/>
      <c r="R159" s="23"/>
      <c r="S159" s="23" t="s">
        <v>64</v>
      </c>
      <c r="T159" s="23"/>
      <c r="U159" s="23" t="s">
        <v>17</v>
      </c>
      <c r="V159" s="23"/>
      <c r="W159" s="33">
        <v>3</v>
      </c>
      <c r="Y159" t="s">
        <v>124</v>
      </c>
      <c r="Z159" t="s">
        <v>53</v>
      </c>
      <c r="AA159" t="s">
        <v>51</v>
      </c>
      <c r="AB159" t="s">
        <v>72</v>
      </c>
      <c r="AF159" t="s">
        <v>1437</v>
      </c>
      <c r="AG159" t="s">
        <v>58</v>
      </c>
      <c r="BX159" t="s">
        <v>1764</v>
      </c>
      <c r="BY159" t="s">
        <v>1765</v>
      </c>
      <c r="CA159" t="s">
        <v>1766</v>
      </c>
      <c r="CB159" t="s">
        <v>1709</v>
      </c>
    </row>
    <row r="160" spans="1:98" hidden="1">
      <c r="A160" s="32" t="s">
        <v>410</v>
      </c>
      <c r="B160" s="32" t="s">
        <v>79</v>
      </c>
      <c r="C160" s="23">
        <v>101</v>
      </c>
      <c r="D160" s="23">
        <v>735800</v>
      </c>
      <c r="E160" s="23">
        <v>4</v>
      </c>
      <c r="F160" s="23"/>
      <c r="G160" s="23" t="s">
        <v>52</v>
      </c>
      <c r="H160" s="23" t="s">
        <v>411</v>
      </c>
      <c r="I160" s="23"/>
      <c r="J160" s="23"/>
      <c r="K160" s="23" t="s">
        <v>412</v>
      </c>
      <c r="L160" s="23" t="s">
        <v>403</v>
      </c>
      <c r="M160" s="23"/>
      <c r="N160" s="23"/>
      <c r="O160" s="23"/>
      <c r="P160" s="23"/>
      <c r="Q160" s="23"/>
      <c r="R160" s="23"/>
      <c r="S160" s="23" t="s">
        <v>64</v>
      </c>
      <c r="T160" s="23"/>
      <c r="U160" s="23" t="s">
        <v>17</v>
      </c>
      <c r="V160" s="23"/>
      <c r="W160" s="33">
        <v>0.09</v>
      </c>
      <c r="Y160" t="s">
        <v>124</v>
      </c>
      <c r="Z160" t="s">
        <v>53</v>
      </c>
      <c r="AA160" t="s">
        <v>51</v>
      </c>
      <c r="AB160" t="s">
        <v>72</v>
      </c>
      <c r="AF160" t="s">
        <v>1437</v>
      </c>
      <c r="AG160" t="s">
        <v>58</v>
      </c>
      <c r="BX160" t="s">
        <v>1717</v>
      </c>
      <c r="BY160" t="s">
        <v>411</v>
      </c>
      <c r="BZ160" t="s">
        <v>1718</v>
      </c>
      <c r="CA160">
        <v>8</v>
      </c>
      <c r="CB160" t="s">
        <v>1715</v>
      </c>
      <c r="CC160" t="s">
        <v>1716</v>
      </c>
    </row>
    <row r="161" spans="1:96" hidden="1">
      <c r="A161" s="32" t="s">
        <v>413</v>
      </c>
      <c r="B161" s="32" t="s">
        <v>79</v>
      </c>
      <c r="C161" s="23">
        <v>102</v>
      </c>
      <c r="D161" s="23">
        <v>3286700</v>
      </c>
      <c r="E161" s="23">
        <v>4</v>
      </c>
      <c r="F161" s="23"/>
      <c r="G161" s="23" t="s">
        <v>52</v>
      </c>
      <c r="H161" s="23"/>
      <c r="I161" s="23"/>
      <c r="J161" s="23"/>
      <c r="K161" s="23" t="s">
        <v>414</v>
      </c>
      <c r="L161" s="23" t="s">
        <v>403</v>
      </c>
      <c r="M161" s="23"/>
      <c r="N161" s="23"/>
      <c r="O161" s="23"/>
      <c r="P161" s="23"/>
      <c r="Q161" s="23"/>
      <c r="R161" s="23"/>
      <c r="S161" s="23" t="s">
        <v>64</v>
      </c>
      <c r="T161" s="23"/>
      <c r="U161" s="23" t="s">
        <v>17</v>
      </c>
      <c r="V161" s="23"/>
      <c r="W161" s="33">
        <v>0.03</v>
      </c>
      <c r="Y161" t="s">
        <v>124</v>
      </c>
      <c r="Z161" t="s">
        <v>53</v>
      </c>
      <c r="AA161" t="s">
        <v>51</v>
      </c>
      <c r="AB161" t="s">
        <v>72</v>
      </c>
      <c r="AF161" t="s">
        <v>1437</v>
      </c>
      <c r="AG161" t="s">
        <v>58</v>
      </c>
      <c r="BX161" t="s">
        <v>1719</v>
      </c>
      <c r="BY161" t="s">
        <v>411</v>
      </c>
      <c r="BZ161" t="s">
        <v>1748</v>
      </c>
      <c r="CA161" t="s">
        <v>1749</v>
      </c>
      <c r="CB161" t="s">
        <v>1715</v>
      </c>
      <c r="CC161" t="s">
        <v>1716</v>
      </c>
    </row>
    <row r="162" spans="1:96" hidden="1">
      <c r="A162" s="32" t="s">
        <v>415</v>
      </c>
      <c r="B162" s="32" t="s">
        <v>79</v>
      </c>
      <c r="C162" s="23">
        <v>103</v>
      </c>
      <c r="D162" s="23">
        <v>404300</v>
      </c>
      <c r="E162" s="23">
        <v>6</v>
      </c>
      <c r="F162" s="23"/>
      <c r="G162" s="23" t="s">
        <v>52</v>
      </c>
      <c r="H162" s="23" t="s">
        <v>275</v>
      </c>
      <c r="I162" s="23"/>
      <c r="J162" s="23"/>
      <c r="K162" s="23" t="s">
        <v>367</v>
      </c>
      <c r="L162" s="23" t="s">
        <v>403</v>
      </c>
      <c r="M162" s="23"/>
      <c r="N162" s="23"/>
      <c r="O162" s="23"/>
      <c r="P162" s="23"/>
      <c r="Q162" s="23"/>
      <c r="R162" s="23"/>
      <c r="S162" s="23" t="s">
        <v>64</v>
      </c>
      <c r="T162" s="23"/>
      <c r="U162" s="23" t="s">
        <v>17</v>
      </c>
      <c r="V162" s="23"/>
      <c r="W162" s="33">
        <v>1.2999999999999999E-2</v>
      </c>
      <c r="Y162" t="s">
        <v>124</v>
      </c>
      <c r="Z162" t="s">
        <v>53</v>
      </c>
      <c r="AA162" t="s">
        <v>51</v>
      </c>
      <c r="AB162" t="s">
        <v>72</v>
      </c>
      <c r="AF162" t="s">
        <v>1437</v>
      </c>
      <c r="AG162" t="s">
        <v>58</v>
      </c>
      <c r="BX162" t="s">
        <v>1717</v>
      </c>
      <c r="BY162" t="s">
        <v>1758</v>
      </c>
      <c r="BZ162" t="s">
        <v>1759</v>
      </c>
      <c r="CA162" t="s">
        <v>1760</v>
      </c>
      <c r="CB162" t="s">
        <v>1761</v>
      </c>
    </row>
    <row r="163" spans="1:96" hidden="1">
      <c r="A163" s="32" t="s">
        <v>416</v>
      </c>
      <c r="B163" s="32" t="s">
        <v>79</v>
      </c>
      <c r="C163" s="23">
        <v>104</v>
      </c>
      <c r="D163" s="23">
        <v>25397900</v>
      </c>
      <c r="E163" s="23">
        <v>6</v>
      </c>
      <c r="F163" s="23"/>
      <c r="G163" s="23" t="s">
        <v>52</v>
      </c>
      <c r="H163" s="23" t="s">
        <v>280</v>
      </c>
      <c r="I163" s="23"/>
      <c r="J163" s="23"/>
      <c r="K163" s="23" t="s">
        <v>329</v>
      </c>
      <c r="L163" s="23" t="s">
        <v>403</v>
      </c>
      <c r="M163" s="23"/>
      <c r="N163" s="23"/>
      <c r="O163" s="23"/>
      <c r="P163" s="23"/>
      <c r="Q163" s="23"/>
      <c r="R163" s="23"/>
      <c r="S163" s="23" t="s">
        <v>64</v>
      </c>
      <c r="T163" s="23"/>
      <c r="U163" s="23" t="s">
        <v>17</v>
      </c>
      <c r="V163" s="23"/>
      <c r="W163" s="33">
        <v>3.7999999999999999E-2</v>
      </c>
      <c r="Y163" t="s">
        <v>124</v>
      </c>
      <c r="Z163" t="s">
        <v>53</v>
      </c>
      <c r="AA163" t="s">
        <v>51</v>
      </c>
      <c r="AB163" t="s">
        <v>72</v>
      </c>
      <c r="AF163" t="s">
        <v>1437</v>
      </c>
      <c r="AG163" t="s">
        <v>58</v>
      </c>
      <c r="BX163" t="s">
        <v>1713</v>
      </c>
      <c r="BY163" t="s">
        <v>280</v>
      </c>
      <c r="BZ163" t="s">
        <v>1714</v>
      </c>
      <c r="CA163" s="76">
        <v>46242</v>
      </c>
      <c r="CB163" t="s">
        <v>1715</v>
      </c>
      <c r="CC163" t="s">
        <v>1716</v>
      </c>
    </row>
    <row r="164" spans="1:96" hidden="1">
      <c r="A164" s="32" t="s">
        <v>417</v>
      </c>
      <c r="B164" s="32" t="s">
        <v>79</v>
      </c>
      <c r="C164" s="23">
        <v>105</v>
      </c>
      <c r="D164" s="23">
        <v>2282100</v>
      </c>
      <c r="E164" s="23">
        <v>6</v>
      </c>
      <c r="F164" s="23"/>
      <c r="G164" s="23" t="s">
        <v>52</v>
      </c>
      <c r="H164" s="23" t="s">
        <v>275</v>
      </c>
      <c r="I164" s="23"/>
      <c r="J164" s="23"/>
      <c r="K164" s="23" t="s">
        <v>370</v>
      </c>
      <c r="L164" s="23" t="s">
        <v>403</v>
      </c>
      <c r="M164" s="23"/>
      <c r="N164" s="23"/>
      <c r="O164" s="23"/>
      <c r="P164" s="23"/>
      <c r="Q164" s="23"/>
      <c r="R164" s="23"/>
      <c r="S164" s="23" t="s">
        <v>64</v>
      </c>
      <c r="T164" s="23"/>
      <c r="U164" s="23" t="s">
        <v>17</v>
      </c>
      <c r="V164" s="23"/>
      <c r="W164" s="33">
        <v>0.06</v>
      </c>
      <c r="Y164" t="s">
        <v>124</v>
      </c>
      <c r="Z164" t="s">
        <v>53</v>
      </c>
      <c r="AA164" t="s">
        <v>51</v>
      </c>
      <c r="AB164" t="s">
        <v>72</v>
      </c>
      <c r="AF164" t="s">
        <v>1437</v>
      </c>
      <c r="AG164" t="s">
        <v>58</v>
      </c>
      <c r="BX164" t="s">
        <v>1717</v>
      </c>
      <c r="BY164" t="s">
        <v>275</v>
      </c>
      <c r="BZ164" t="s">
        <v>1762</v>
      </c>
      <c r="CA164">
        <v>4</v>
      </c>
      <c r="CB164" t="s">
        <v>1740</v>
      </c>
    </row>
    <row r="165" spans="1:96" hidden="1">
      <c r="A165" s="29" t="s">
        <v>418</v>
      </c>
      <c r="B165" s="29" t="s">
        <v>74</v>
      </c>
      <c r="C165" s="30">
        <v>11</v>
      </c>
      <c r="D165" s="30" t="s">
        <v>419</v>
      </c>
      <c r="E165" s="30">
        <v>2</v>
      </c>
      <c r="F165" s="30"/>
      <c r="G165" s="30" t="s">
        <v>52</v>
      </c>
      <c r="H165" s="30"/>
      <c r="I165" s="30"/>
      <c r="J165" s="30"/>
      <c r="K165" s="30" t="s">
        <v>420</v>
      </c>
      <c r="L165" s="30" t="s">
        <v>419</v>
      </c>
      <c r="M165" s="30">
        <v>3</v>
      </c>
      <c r="N165" s="30"/>
      <c r="O165" s="23"/>
      <c r="P165" s="23"/>
      <c r="Q165" s="23"/>
      <c r="R165" s="23"/>
      <c r="S165" s="23" t="s">
        <v>64</v>
      </c>
      <c r="T165" s="23"/>
      <c r="U165" s="23" t="s">
        <v>54</v>
      </c>
      <c r="V165" s="23"/>
      <c r="W165" s="31">
        <v>0.3</v>
      </c>
      <c r="Y165" t="s">
        <v>40</v>
      </c>
      <c r="Z165" t="s">
        <v>53</v>
      </c>
      <c r="AA165" t="s">
        <v>51</v>
      </c>
      <c r="AB165" t="s">
        <v>72</v>
      </c>
      <c r="AC165" t="s">
        <v>1420</v>
      </c>
      <c r="AF165" t="s">
        <v>1437</v>
      </c>
      <c r="AG165" t="s">
        <v>58</v>
      </c>
      <c r="BX165" t="s">
        <v>420</v>
      </c>
    </row>
    <row r="166" spans="1:96" hidden="1">
      <c r="A166" s="32" t="s">
        <v>421</v>
      </c>
      <c r="B166" s="32" t="s">
        <v>79</v>
      </c>
      <c r="C166" s="23">
        <v>1</v>
      </c>
      <c r="D166" s="23">
        <v>272300</v>
      </c>
      <c r="E166" s="23">
        <v>2</v>
      </c>
      <c r="F166" s="23">
        <v>3.9E-2</v>
      </c>
      <c r="G166" s="23" t="s">
        <v>89</v>
      </c>
      <c r="H166" s="23">
        <v>120</v>
      </c>
      <c r="I166" s="23" t="s">
        <v>85</v>
      </c>
      <c r="J166" s="23">
        <v>162</v>
      </c>
      <c r="K166" s="23" t="s">
        <v>422</v>
      </c>
      <c r="L166" s="23" t="s">
        <v>419</v>
      </c>
      <c r="M166" s="23"/>
      <c r="N166" s="23"/>
      <c r="O166" s="23"/>
      <c r="P166" s="23"/>
      <c r="Q166" s="23"/>
      <c r="R166" s="23"/>
      <c r="S166" s="23" t="s">
        <v>64</v>
      </c>
      <c r="T166" s="23"/>
      <c r="U166" s="23" t="s">
        <v>87</v>
      </c>
      <c r="V166" s="23"/>
      <c r="W166" s="33">
        <v>0</v>
      </c>
      <c r="Y166" t="s">
        <v>161</v>
      </c>
      <c r="Z166" t="s">
        <v>53</v>
      </c>
      <c r="AA166" t="s">
        <v>51</v>
      </c>
      <c r="AB166" t="s">
        <v>72</v>
      </c>
      <c r="AC166" t="s">
        <v>1420</v>
      </c>
      <c r="AF166" t="s">
        <v>1437</v>
      </c>
      <c r="AG166" t="s">
        <v>58</v>
      </c>
      <c r="AI166" t="str">
        <f>BY166&amp;"_"&amp;CB166&amp;"_"&amp;L166&amp;"_p"&amp;C166&amp;"_"&amp;E166&amp;"st_"&amp;AK166&amp;"_"&amp;RIGHT(AG166,4)&amp;"_"&amp;AL166</f>
        <v>2_DC01_SL40038004_p1_2st__2050_</v>
      </c>
      <c r="AM166" t="s">
        <v>1673</v>
      </c>
      <c r="AZ166" s="64" t="s">
        <v>1517</v>
      </c>
      <c r="BA166" s="64" t="s">
        <v>1518</v>
      </c>
      <c r="BX166" t="s">
        <v>1691</v>
      </c>
      <c r="BY166">
        <v>2</v>
      </c>
      <c r="BZ166" t="s">
        <v>1767</v>
      </c>
      <c r="CA166" t="s">
        <v>1768</v>
      </c>
      <c r="CB166" t="s">
        <v>1894</v>
      </c>
      <c r="CG166">
        <v>2</v>
      </c>
      <c r="CH166" t="s">
        <v>1897</v>
      </c>
      <c r="CI166" t="s">
        <v>419</v>
      </c>
      <c r="CJ166" t="s">
        <v>1898</v>
      </c>
      <c r="CK166" t="s">
        <v>1918</v>
      </c>
      <c r="CL166" t="s">
        <v>1900</v>
      </c>
      <c r="CM166" t="s">
        <v>1915</v>
      </c>
      <c r="CR166" t="s">
        <v>1981</v>
      </c>
    </row>
    <row r="167" spans="1:96" hidden="1">
      <c r="A167" s="32" t="s">
        <v>423</v>
      </c>
      <c r="B167" s="32" t="s">
        <v>79</v>
      </c>
      <c r="C167" s="23">
        <v>101</v>
      </c>
      <c r="D167" s="23">
        <v>24379100</v>
      </c>
      <c r="E167" s="23">
        <v>4</v>
      </c>
      <c r="F167" s="23"/>
      <c r="G167" s="23" t="s">
        <v>52</v>
      </c>
      <c r="H167" s="23" t="s">
        <v>272</v>
      </c>
      <c r="I167" s="23"/>
      <c r="J167" s="23"/>
      <c r="K167" s="23" t="s">
        <v>273</v>
      </c>
      <c r="L167" s="23" t="s">
        <v>419</v>
      </c>
      <c r="M167" s="23"/>
      <c r="N167" s="23"/>
      <c r="O167" s="23"/>
      <c r="P167" s="23"/>
      <c r="Q167" s="23"/>
      <c r="R167" s="23"/>
      <c r="S167" s="23" t="s">
        <v>64</v>
      </c>
      <c r="T167" s="23"/>
      <c r="U167" s="23" t="s">
        <v>17</v>
      </c>
      <c r="V167" s="23"/>
      <c r="W167" s="33">
        <v>4.1000000000000002E-2</v>
      </c>
      <c r="Y167" t="s">
        <v>124</v>
      </c>
      <c r="Z167" t="s">
        <v>53</v>
      </c>
      <c r="AA167" t="s">
        <v>51</v>
      </c>
      <c r="AB167" t="s">
        <v>72</v>
      </c>
      <c r="AF167" t="s">
        <v>1437</v>
      </c>
      <c r="AG167" t="s">
        <v>58</v>
      </c>
      <c r="BX167" t="s">
        <v>1713</v>
      </c>
      <c r="BY167" t="s">
        <v>272</v>
      </c>
      <c r="BZ167" t="s">
        <v>1714</v>
      </c>
      <c r="CA167" s="76">
        <v>46242</v>
      </c>
      <c r="CB167" t="s">
        <v>1715</v>
      </c>
      <c r="CC167" t="s">
        <v>1716</v>
      </c>
    </row>
    <row r="168" spans="1:96" hidden="1">
      <c r="A168" s="32" t="s">
        <v>424</v>
      </c>
      <c r="B168" s="32" t="s">
        <v>79</v>
      </c>
      <c r="C168" s="23">
        <v>102</v>
      </c>
      <c r="D168" s="23">
        <v>24707900</v>
      </c>
      <c r="E168" s="23">
        <v>4</v>
      </c>
      <c r="F168" s="23"/>
      <c r="G168" s="23" t="s">
        <v>52</v>
      </c>
      <c r="H168" s="23" t="s">
        <v>275</v>
      </c>
      <c r="I168" s="23"/>
      <c r="J168" s="23"/>
      <c r="K168" s="23" t="s">
        <v>276</v>
      </c>
      <c r="L168" s="23" t="s">
        <v>419</v>
      </c>
      <c r="M168" s="23"/>
      <c r="N168" s="23"/>
      <c r="O168" s="23"/>
      <c r="P168" s="23"/>
      <c r="Q168" s="23"/>
      <c r="R168" s="23"/>
      <c r="S168" s="23" t="s">
        <v>64</v>
      </c>
      <c r="T168" s="23"/>
      <c r="U168" s="23" t="s">
        <v>17</v>
      </c>
      <c r="V168" s="23"/>
      <c r="W168" s="33">
        <v>1.7000000000000001E-2</v>
      </c>
      <c r="Y168" t="s">
        <v>124</v>
      </c>
      <c r="Z168" t="s">
        <v>53</v>
      </c>
      <c r="AA168" t="s">
        <v>51</v>
      </c>
      <c r="AB168" t="s">
        <v>72</v>
      </c>
      <c r="AF168" t="s">
        <v>1437</v>
      </c>
      <c r="AG168" t="s">
        <v>58</v>
      </c>
      <c r="BX168" t="s">
        <v>1717</v>
      </c>
      <c r="BY168" t="s">
        <v>275</v>
      </c>
      <c r="BZ168" t="s">
        <v>1718</v>
      </c>
      <c r="CA168">
        <v>8</v>
      </c>
      <c r="CB168" t="s">
        <v>1715</v>
      </c>
      <c r="CC168" t="s">
        <v>1716</v>
      </c>
    </row>
    <row r="169" spans="1:96" hidden="1">
      <c r="A169" s="32" t="s">
        <v>425</v>
      </c>
      <c r="B169" s="32" t="s">
        <v>79</v>
      </c>
      <c r="C169" s="23">
        <v>103</v>
      </c>
      <c r="D169" s="23">
        <v>24484200</v>
      </c>
      <c r="E169" s="23">
        <v>8</v>
      </c>
      <c r="F169" s="23"/>
      <c r="G169" s="23" t="s">
        <v>52</v>
      </c>
      <c r="H169" s="23">
        <v>13</v>
      </c>
      <c r="I169" s="23"/>
      <c r="J169" s="23"/>
      <c r="K169" s="23" t="s">
        <v>278</v>
      </c>
      <c r="L169" s="23" t="s">
        <v>419</v>
      </c>
      <c r="M169" s="23"/>
      <c r="N169" s="23"/>
      <c r="O169" s="23"/>
      <c r="P169" s="23"/>
      <c r="Q169" s="23"/>
      <c r="R169" s="23"/>
      <c r="S169" s="23" t="s">
        <v>64</v>
      </c>
      <c r="T169" s="23"/>
      <c r="U169" s="23" t="s">
        <v>17</v>
      </c>
      <c r="V169" s="23"/>
      <c r="W169" s="33">
        <v>0.01</v>
      </c>
      <c r="Y169" t="s">
        <v>124</v>
      </c>
      <c r="Z169" t="s">
        <v>53</v>
      </c>
      <c r="AA169" t="s">
        <v>51</v>
      </c>
      <c r="AB169" t="s">
        <v>72</v>
      </c>
      <c r="AF169" t="s">
        <v>1437</v>
      </c>
      <c r="AG169" t="s">
        <v>58</v>
      </c>
      <c r="BX169" t="s">
        <v>1719</v>
      </c>
      <c r="BY169">
        <v>13</v>
      </c>
      <c r="BZ169" t="s">
        <v>763</v>
      </c>
      <c r="CA169" t="s">
        <v>1720</v>
      </c>
      <c r="CB169" t="s">
        <v>1721</v>
      </c>
    </row>
    <row r="170" spans="1:96" hidden="1">
      <c r="A170" s="29" t="s">
        <v>426</v>
      </c>
      <c r="B170" s="29" t="s">
        <v>74</v>
      </c>
      <c r="C170" s="30">
        <v>12</v>
      </c>
      <c r="D170" s="30" t="s">
        <v>427</v>
      </c>
      <c r="E170" s="30">
        <v>2</v>
      </c>
      <c r="F170" s="30"/>
      <c r="G170" s="30" t="s">
        <v>52</v>
      </c>
      <c r="H170" s="30"/>
      <c r="I170" s="30"/>
      <c r="J170" s="30"/>
      <c r="K170" s="30" t="s">
        <v>428</v>
      </c>
      <c r="L170" s="30" t="s">
        <v>427</v>
      </c>
      <c r="M170" s="30">
        <v>4</v>
      </c>
      <c r="N170" s="30"/>
      <c r="O170" s="23"/>
      <c r="P170" s="23"/>
      <c r="Q170" s="23"/>
      <c r="R170" s="23"/>
      <c r="S170" s="23" t="s">
        <v>64</v>
      </c>
      <c r="T170" s="23"/>
      <c r="U170" s="23" t="s">
        <v>54</v>
      </c>
      <c r="V170" s="23"/>
      <c r="W170" s="31">
        <v>1.071</v>
      </c>
      <c r="Y170" t="s">
        <v>40</v>
      </c>
      <c r="Z170" t="s">
        <v>53</v>
      </c>
      <c r="AA170" t="s">
        <v>51</v>
      </c>
      <c r="AB170" t="s">
        <v>72</v>
      </c>
      <c r="AC170" t="s">
        <v>1420</v>
      </c>
      <c r="AF170" t="s">
        <v>1437</v>
      </c>
      <c r="AG170" t="s">
        <v>58</v>
      </c>
      <c r="BX170" t="s">
        <v>428</v>
      </c>
    </row>
    <row r="171" spans="1:96" hidden="1">
      <c r="A171" s="32" t="s">
        <v>429</v>
      </c>
      <c r="B171" s="32" t="s">
        <v>79</v>
      </c>
      <c r="C171" s="23">
        <v>1</v>
      </c>
      <c r="D171" s="23">
        <v>1700</v>
      </c>
      <c r="E171" s="23">
        <v>2</v>
      </c>
      <c r="F171" s="23">
        <v>5.8000000000000003E-2</v>
      </c>
      <c r="G171" s="23" t="s">
        <v>89</v>
      </c>
      <c r="H171" s="23">
        <v>90</v>
      </c>
      <c r="I171" s="23" t="s">
        <v>85</v>
      </c>
      <c r="J171" s="23">
        <v>320</v>
      </c>
      <c r="K171" s="23" t="s">
        <v>430</v>
      </c>
      <c r="L171" s="23" t="s">
        <v>427</v>
      </c>
      <c r="M171" s="23"/>
      <c r="N171" s="23"/>
      <c r="O171" s="23"/>
      <c r="P171" s="23"/>
      <c r="Q171" s="23"/>
      <c r="R171" s="23"/>
      <c r="S171" s="23" t="s">
        <v>64</v>
      </c>
      <c r="T171" s="23"/>
      <c r="U171" s="23" t="s">
        <v>87</v>
      </c>
      <c r="V171" s="23"/>
      <c r="W171" s="33">
        <v>0</v>
      </c>
      <c r="Y171" t="s">
        <v>161</v>
      </c>
      <c r="Z171" t="s">
        <v>53</v>
      </c>
      <c r="AA171" t="s">
        <v>51</v>
      </c>
      <c r="AB171" t="s">
        <v>72</v>
      </c>
      <c r="AC171" t="s">
        <v>1420</v>
      </c>
      <c r="AF171" t="s">
        <v>1437</v>
      </c>
      <c r="AG171" t="s">
        <v>58</v>
      </c>
      <c r="AI171" t="str">
        <f>BY171&amp;"_"&amp;CB171&amp;"_"&amp;L171&amp;"_p"&amp;C171&amp;"_"&amp;E171&amp;"st_"&amp;AK171&amp;"_"&amp;RIGHT(AG171,4)&amp;"_"&amp;AL171</f>
        <v>5_S235_SL40032904_p1_2st__2050_</v>
      </c>
      <c r="AM171" t="s">
        <v>1673</v>
      </c>
      <c r="AZ171" s="64" t="s">
        <v>1519</v>
      </c>
      <c r="BA171" s="64" t="s">
        <v>1520</v>
      </c>
      <c r="BX171" t="s">
        <v>1691</v>
      </c>
      <c r="BY171">
        <v>5</v>
      </c>
      <c r="BZ171" t="s">
        <v>1692</v>
      </c>
      <c r="CA171" t="s">
        <v>1736</v>
      </c>
      <c r="CB171" t="s">
        <v>1895</v>
      </c>
      <c r="CG171">
        <v>5</v>
      </c>
      <c r="CH171" t="s">
        <v>1895</v>
      </c>
      <c r="CI171" t="s">
        <v>427</v>
      </c>
      <c r="CJ171" t="s">
        <v>1898</v>
      </c>
      <c r="CK171" t="s">
        <v>1919</v>
      </c>
      <c r="CM171" t="s">
        <v>1915</v>
      </c>
      <c r="CR171" t="s">
        <v>1982</v>
      </c>
    </row>
    <row r="172" spans="1:96" hidden="1">
      <c r="A172" s="32" t="s">
        <v>431</v>
      </c>
      <c r="B172" s="32" t="s">
        <v>74</v>
      </c>
      <c r="C172" s="23">
        <v>101</v>
      </c>
      <c r="D172" s="23">
        <v>27210900</v>
      </c>
      <c r="E172" s="23">
        <v>4</v>
      </c>
      <c r="F172" s="23"/>
      <c r="G172" s="23" t="s">
        <v>52</v>
      </c>
      <c r="H172" s="23" t="s">
        <v>432</v>
      </c>
      <c r="I172" s="23"/>
      <c r="J172" s="23"/>
      <c r="K172" s="23" t="s">
        <v>433</v>
      </c>
      <c r="L172" s="23" t="s">
        <v>427</v>
      </c>
      <c r="M172" s="23"/>
      <c r="N172" s="23"/>
      <c r="O172" s="23"/>
      <c r="P172" s="23"/>
      <c r="Q172" s="23"/>
      <c r="R172" s="23"/>
      <c r="S172" s="23" t="s">
        <v>64</v>
      </c>
      <c r="T172" s="23"/>
      <c r="U172" s="23" t="s">
        <v>17</v>
      </c>
      <c r="V172" s="23"/>
      <c r="W172" s="33">
        <v>0.1</v>
      </c>
      <c r="Y172" t="s">
        <v>124</v>
      </c>
      <c r="Z172" t="s">
        <v>53</v>
      </c>
      <c r="AA172" t="s">
        <v>51</v>
      </c>
      <c r="AB172" t="s">
        <v>72</v>
      </c>
      <c r="AF172" t="s">
        <v>1437</v>
      </c>
      <c r="AG172" t="s">
        <v>58</v>
      </c>
      <c r="BX172" t="s">
        <v>1713</v>
      </c>
      <c r="BY172" t="s">
        <v>432</v>
      </c>
      <c r="BZ172" t="s">
        <v>1714</v>
      </c>
      <c r="CA172" s="76">
        <v>46242</v>
      </c>
      <c r="CB172" t="s">
        <v>1715</v>
      </c>
      <c r="CC172" t="s">
        <v>1716</v>
      </c>
    </row>
    <row r="173" spans="1:96" hidden="1">
      <c r="A173" s="32" t="s">
        <v>434</v>
      </c>
      <c r="B173" s="32" t="s">
        <v>74</v>
      </c>
      <c r="C173" s="23">
        <v>102</v>
      </c>
      <c r="D173" s="23">
        <v>28506600</v>
      </c>
      <c r="E173" s="23">
        <v>4</v>
      </c>
      <c r="F173" s="23"/>
      <c r="G173" s="23" t="s">
        <v>52</v>
      </c>
      <c r="H173" s="23" t="s">
        <v>357</v>
      </c>
      <c r="I173" s="23"/>
      <c r="J173" s="23"/>
      <c r="K173" s="23" t="s">
        <v>358</v>
      </c>
      <c r="L173" s="23" t="s">
        <v>427</v>
      </c>
      <c r="M173" s="23"/>
      <c r="N173" s="23"/>
      <c r="O173" s="23"/>
      <c r="P173" s="23"/>
      <c r="Q173" s="23"/>
      <c r="R173" s="23"/>
      <c r="S173" s="23" t="s">
        <v>64</v>
      </c>
      <c r="T173" s="23"/>
      <c r="U173" s="23" t="s">
        <v>17</v>
      </c>
      <c r="V173" s="23"/>
      <c r="W173" s="33">
        <v>3.3000000000000002E-2</v>
      </c>
      <c r="Y173" t="s">
        <v>124</v>
      </c>
      <c r="Z173" t="s">
        <v>53</v>
      </c>
      <c r="AA173" t="s">
        <v>51</v>
      </c>
      <c r="AB173" t="s">
        <v>72</v>
      </c>
      <c r="AF173" t="s">
        <v>1437</v>
      </c>
      <c r="AG173" t="s">
        <v>58</v>
      </c>
      <c r="BX173" t="s">
        <v>1717</v>
      </c>
      <c r="BY173" t="s">
        <v>357</v>
      </c>
      <c r="BZ173" t="s">
        <v>1718</v>
      </c>
      <c r="CA173">
        <v>8</v>
      </c>
      <c r="CB173" t="s">
        <v>1715</v>
      </c>
      <c r="CC173" t="s">
        <v>1716</v>
      </c>
    </row>
    <row r="174" spans="1:96" hidden="1">
      <c r="A174" s="32" t="s">
        <v>435</v>
      </c>
      <c r="B174" s="32" t="s">
        <v>74</v>
      </c>
      <c r="C174" s="23">
        <v>103</v>
      </c>
      <c r="D174" s="23">
        <v>5115300</v>
      </c>
      <c r="E174" s="23">
        <v>8</v>
      </c>
      <c r="F174" s="23"/>
      <c r="G174" s="23" t="s">
        <v>52</v>
      </c>
      <c r="H174" s="23">
        <v>17</v>
      </c>
      <c r="I174" s="23"/>
      <c r="J174" s="23"/>
      <c r="K174" s="23" t="s">
        <v>171</v>
      </c>
      <c r="L174" s="23" t="s">
        <v>427</v>
      </c>
      <c r="M174" s="23"/>
      <c r="N174" s="23"/>
      <c r="O174" s="23"/>
      <c r="P174" s="23"/>
      <c r="Q174" s="23"/>
      <c r="R174" s="23"/>
      <c r="S174" s="23" t="s">
        <v>64</v>
      </c>
      <c r="T174" s="23"/>
      <c r="U174" s="23" t="s">
        <v>17</v>
      </c>
      <c r="V174" s="23"/>
      <c r="W174" s="33">
        <v>1.0999999999999999E-2</v>
      </c>
      <c r="Y174" t="s">
        <v>124</v>
      </c>
      <c r="Z174" t="s">
        <v>53</v>
      </c>
      <c r="AA174" t="s">
        <v>51</v>
      </c>
      <c r="AB174" t="s">
        <v>72</v>
      </c>
      <c r="AF174" t="s">
        <v>1437</v>
      </c>
      <c r="AG174" t="s">
        <v>58</v>
      </c>
      <c r="BX174" t="s">
        <v>1719</v>
      </c>
      <c r="BY174" t="s">
        <v>1739</v>
      </c>
      <c r="BZ174" t="s">
        <v>1720</v>
      </c>
      <c r="CB174" t="s">
        <v>1721</v>
      </c>
    </row>
    <row r="175" spans="1:96" hidden="1">
      <c r="A175" s="26" t="s">
        <v>436</v>
      </c>
      <c r="B175" s="26" t="s">
        <v>62</v>
      </c>
      <c r="C175" s="27">
        <v>4</v>
      </c>
      <c r="D175" s="27" t="s">
        <v>437</v>
      </c>
      <c r="E175" s="27">
        <v>1</v>
      </c>
      <c r="F175" s="27"/>
      <c r="G175" s="27" t="s">
        <v>52</v>
      </c>
      <c r="H175" s="27"/>
      <c r="I175" s="27"/>
      <c r="J175" s="27"/>
      <c r="K175" s="27" t="s">
        <v>438</v>
      </c>
      <c r="L175" s="27" t="s">
        <v>437</v>
      </c>
      <c r="M175" s="27">
        <v>0</v>
      </c>
      <c r="N175" s="27"/>
      <c r="O175" s="23"/>
      <c r="P175" s="23"/>
      <c r="Q175" s="23"/>
      <c r="R175" s="23"/>
      <c r="S175" s="23" t="s">
        <v>64</v>
      </c>
      <c r="T175" s="23"/>
      <c r="U175" s="23" t="s">
        <v>54</v>
      </c>
      <c r="V175" s="23"/>
      <c r="W175" s="28">
        <v>382.68299999999999</v>
      </c>
      <c r="Y175" t="s">
        <v>40</v>
      </c>
      <c r="Z175" t="s">
        <v>53</v>
      </c>
      <c r="AA175" t="s">
        <v>51</v>
      </c>
      <c r="AB175" t="s">
        <v>439</v>
      </c>
      <c r="AF175" t="s">
        <v>1437</v>
      </c>
      <c r="AG175" t="s">
        <v>58</v>
      </c>
      <c r="BX175" t="s">
        <v>438</v>
      </c>
    </row>
    <row r="176" spans="1:96" hidden="1">
      <c r="A176" s="29" t="s">
        <v>440</v>
      </c>
      <c r="B176" s="29" t="s">
        <v>74</v>
      </c>
      <c r="C176" s="30">
        <v>1</v>
      </c>
      <c r="D176" s="30" t="s">
        <v>441</v>
      </c>
      <c r="E176" s="30">
        <v>1</v>
      </c>
      <c r="F176" s="30"/>
      <c r="G176" s="30" t="s">
        <v>52</v>
      </c>
      <c r="H176" s="30"/>
      <c r="I176" s="30"/>
      <c r="J176" s="30"/>
      <c r="K176" s="30" t="s">
        <v>442</v>
      </c>
      <c r="L176" s="30" t="s">
        <v>441</v>
      </c>
      <c r="M176" s="30">
        <v>3</v>
      </c>
      <c r="N176" s="30"/>
      <c r="O176" s="23"/>
      <c r="P176" s="23"/>
      <c r="Q176" s="23"/>
      <c r="R176" s="23"/>
      <c r="S176" s="23" t="s">
        <v>64</v>
      </c>
      <c r="T176" s="23"/>
      <c r="U176" s="23" t="s">
        <v>54</v>
      </c>
      <c r="V176" s="23"/>
      <c r="W176" s="31">
        <v>110.301</v>
      </c>
      <c r="Y176" t="s">
        <v>77</v>
      </c>
      <c r="Z176" t="s">
        <v>53</v>
      </c>
      <c r="AA176" t="s">
        <v>51</v>
      </c>
      <c r="AB176" t="s">
        <v>439</v>
      </c>
      <c r="AC176" t="s">
        <v>1435</v>
      </c>
      <c r="AD176" t="s">
        <v>1436</v>
      </c>
      <c r="AF176" t="s">
        <v>1437</v>
      </c>
      <c r="AG176" t="s">
        <v>58</v>
      </c>
      <c r="BX176" t="s">
        <v>442</v>
      </c>
    </row>
    <row r="177" spans="1:81" hidden="1">
      <c r="A177" s="29" t="s">
        <v>443</v>
      </c>
      <c r="B177" s="29" t="s">
        <v>79</v>
      </c>
      <c r="C177" s="30">
        <v>1</v>
      </c>
      <c r="D177" s="30" t="s">
        <v>444</v>
      </c>
      <c r="E177" s="30">
        <v>1</v>
      </c>
      <c r="F177" s="30"/>
      <c r="G177" s="30" t="s">
        <v>52</v>
      </c>
      <c r="H177" s="30"/>
      <c r="I177" s="30"/>
      <c r="J177" s="30"/>
      <c r="K177" s="30" t="s">
        <v>445</v>
      </c>
      <c r="L177" s="30" t="s">
        <v>444</v>
      </c>
      <c r="M177" s="30">
        <v>2</v>
      </c>
      <c r="N177" s="30"/>
      <c r="O177" s="23"/>
      <c r="P177" s="23"/>
      <c r="Q177" s="23"/>
      <c r="R177" s="23"/>
      <c r="S177" s="23" t="s">
        <v>64</v>
      </c>
      <c r="T177" s="23"/>
      <c r="U177" s="23" t="s">
        <v>54</v>
      </c>
      <c r="V177" s="23"/>
      <c r="W177" s="31">
        <v>87.534999999999997</v>
      </c>
      <c r="Y177" t="s">
        <v>77</v>
      </c>
      <c r="Z177" t="s">
        <v>53</v>
      </c>
      <c r="AA177" t="s">
        <v>51</v>
      </c>
      <c r="AB177" t="s">
        <v>439</v>
      </c>
      <c r="AC177" t="s">
        <v>1435</v>
      </c>
      <c r="AD177" t="s">
        <v>1436</v>
      </c>
      <c r="AF177" t="s">
        <v>1437</v>
      </c>
      <c r="AG177" t="s">
        <v>58</v>
      </c>
      <c r="BX177" t="s">
        <v>445</v>
      </c>
    </row>
    <row r="178" spans="1:81" hidden="1">
      <c r="A178" s="32" t="s">
        <v>446</v>
      </c>
      <c r="B178" s="32" t="s">
        <v>83</v>
      </c>
      <c r="C178" s="23">
        <v>1</v>
      </c>
      <c r="D178" s="23">
        <v>3741900</v>
      </c>
      <c r="E178" s="23">
        <v>2</v>
      </c>
      <c r="F178" s="23">
        <v>0.19400000000000001</v>
      </c>
      <c r="G178" s="23" t="s">
        <v>89</v>
      </c>
      <c r="H178" s="23">
        <v>311</v>
      </c>
      <c r="I178" s="23" t="s">
        <v>85</v>
      </c>
      <c r="J178" s="23">
        <v>311</v>
      </c>
      <c r="K178" s="23" t="s">
        <v>90</v>
      </c>
      <c r="L178" s="23" t="s">
        <v>444</v>
      </c>
      <c r="M178" s="23"/>
      <c r="N178" s="23"/>
      <c r="O178" s="23"/>
      <c r="P178" s="23"/>
      <c r="Q178" s="23"/>
      <c r="R178" s="23"/>
      <c r="S178" s="23" t="s">
        <v>64</v>
      </c>
      <c r="T178" s="23"/>
      <c r="U178" s="23" t="s">
        <v>87</v>
      </c>
      <c r="V178" s="23"/>
      <c r="W178" s="33">
        <v>0</v>
      </c>
      <c r="Y178" t="s">
        <v>77</v>
      </c>
      <c r="Z178" t="s">
        <v>53</v>
      </c>
      <c r="AA178" t="s">
        <v>51</v>
      </c>
      <c r="AB178" t="s">
        <v>439</v>
      </c>
      <c r="AC178" t="s">
        <v>1435</v>
      </c>
      <c r="AD178" t="s">
        <v>1436</v>
      </c>
      <c r="AF178" t="s">
        <v>1437</v>
      </c>
      <c r="AG178" t="s">
        <v>58</v>
      </c>
      <c r="BX178" t="s">
        <v>1691</v>
      </c>
      <c r="BY178">
        <v>30</v>
      </c>
      <c r="BZ178" t="s">
        <v>1692</v>
      </c>
      <c r="CA178" t="s">
        <v>1693</v>
      </c>
      <c r="CB178" t="s">
        <v>1694</v>
      </c>
    </row>
    <row r="179" spans="1:81" hidden="1">
      <c r="A179" s="32" t="s">
        <v>447</v>
      </c>
      <c r="B179" s="32" t="s">
        <v>83</v>
      </c>
      <c r="C179" s="23">
        <v>2</v>
      </c>
      <c r="D179" s="23">
        <v>299200</v>
      </c>
      <c r="E179" s="23">
        <v>1</v>
      </c>
      <c r="F179" s="23" t="s">
        <v>84</v>
      </c>
      <c r="G179" s="23" t="s">
        <v>85</v>
      </c>
      <c r="H179" s="23" t="s">
        <v>84</v>
      </c>
      <c r="I179" s="23" t="s">
        <v>85</v>
      </c>
      <c r="J179" s="23">
        <v>0</v>
      </c>
      <c r="K179" s="23" t="s">
        <v>448</v>
      </c>
      <c r="L179" s="23" t="s">
        <v>444</v>
      </c>
      <c r="M179" s="23"/>
      <c r="N179" s="23"/>
      <c r="O179" s="23"/>
      <c r="P179" s="23"/>
      <c r="Q179" s="23"/>
      <c r="R179" s="23"/>
      <c r="S179" s="23" t="s">
        <v>64</v>
      </c>
      <c r="T179" s="23"/>
      <c r="U179" s="23" t="s">
        <v>87</v>
      </c>
      <c r="V179" s="23"/>
      <c r="W179" s="33">
        <v>0</v>
      </c>
      <c r="Y179" t="s">
        <v>77</v>
      </c>
      <c r="Z179" t="s">
        <v>53</v>
      </c>
      <c r="AA179" t="s">
        <v>51</v>
      </c>
      <c r="AB179" t="s">
        <v>439</v>
      </c>
      <c r="AC179" t="s">
        <v>1435</v>
      </c>
      <c r="AD179" t="s">
        <v>1436</v>
      </c>
      <c r="AF179" t="s">
        <v>1437</v>
      </c>
      <c r="AG179" t="s">
        <v>58</v>
      </c>
      <c r="BX179" t="s">
        <v>1687</v>
      </c>
      <c r="BY179" t="s">
        <v>1770</v>
      </c>
      <c r="BZ179" t="s">
        <v>1689</v>
      </c>
      <c r="CB179" t="s">
        <v>1771</v>
      </c>
    </row>
    <row r="180" spans="1:81" hidden="1">
      <c r="A180" s="29" t="s">
        <v>449</v>
      </c>
      <c r="B180" s="29" t="s">
        <v>79</v>
      </c>
      <c r="C180" s="30">
        <v>2</v>
      </c>
      <c r="D180" s="30" t="s">
        <v>450</v>
      </c>
      <c r="E180" s="30">
        <v>1</v>
      </c>
      <c r="F180" s="30"/>
      <c r="G180" s="30" t="s">
        <v>52</v>
      </c>
      <c r="H180" s="30"/>
      <c r="I180" s="30"/>
      <c r="J180" s="30"/>
      <c r="K180" s="30" t="s">
        <v>451</v>
      </c>
      <c r="L180" s="30" t="s">
        <v>450</v>
      </c>
      <c r="M180" s="30">
        <v>3</v>
      </c>
      <c r="N180" s="30"/>
      <c r="O180" s="23"/>
      <c r="P180" s="23"/>
      <c r="Q180" s="23"/>
      <c r="R180" s="23"/>
      <c r="S180" s="23" t="s">
        <v>64</v>
      </c>
      <c r="T180" s="23"/>
      <c r="U180" s="23" t="s">
        <v>54</v>
      </c>
      <c r="V180" s="23"/>
      <c r="W180" s="31">
        <v>21.166</v>
      </c>
      <c r="Y180" t="s">
        <v>77</v>
      </c>
      <c r="Z180" t="s">
        <v>53</v>
      </c>
      <c r="AA180" t="s">
        <v>51</v>
      </c>
      <c r="AB180" t="s">
        <v>439</v>
      </c>
      <c r="AC180" t="s">
        <v>1435</v>
      </c>
      <c r="AD180" t="s">
        <v>1436</v>
      </c>
      <c r="AF180" t="s">
        <v>1437</v>
      </c>
      <c r="AG180" t="s">
        <v>58</v>
      </c>
      <c r="BX180" t="s">
        <v>451</v>
      </c>
    </row>
    <row r="181" spans="1:81" hidden="1">
      <c r="A181" s="32" t="s">
        <v>452</v>
      </c>
      <c r="B181" s="32" t="s">
        <v>83</v>
      </c>
      <c r="C181" s="23">
        <v>1</v>
      </c>
      <c r="D181" s="23">
        <v>2822300</v>
      </c>
      <c r="E181" s="23">
        <v>1</v>
      </c>
      <c r="F181" s="23" t="s">
        <v>453</v>
      </c>
      <c r="G181" s="23" t="s">
        <v>85</v>
      </c>
      <c r="H181" s="23" t="s">
        <v>453</v>
      </c>
      <c r="I181" s="23" t="s">
        <v>85</v>
      </c>
      <c r="J181" s="23">
        <v>0</v>
      </c>
      <c r="K181" s="23" t="s">
        <v>454</v>
      </c>
      <c r="L181" s="23" t="s">
        <v>450</v>
      </c>
      <c r="M181" s="23"/>
      <c r="N181" s="23"/>
      <c r="O181" s="23"/>
      <c r="P181" s="23"/>
      <c r="Q181" s="23"/>
      <c r="R181" s="23"/>
      <c r="S181" s="23" t="s">
        <v>64</v>
      </c>
      <c r="T181" s="23"/>
      <c r="U181" s="23" t="s">
        <v>87</v>
      </c>
      <c r="V181" s="23"/>
      <c r="W181" s="33">
        <v>0</v>
      </c>
      <c r="Y181" t="s">
        <v>77</v>
      </c>
      <c r="Z181" t="s">
        <v>53</v>
      </c>
      <c r="AA181" t="s">
        <v>51</v>
      </c>
      <c r="AB181" t="s">
        <v>439</v>
      </c>
      <c r="AC181" t="s">
        <v>1435</v>
      </c>
      <c r="AD181" t="s">
        <v>1436</v>
      </c>
      <c r="AF181" t="s">
        <v>1437</v>
      </c>
      <c r="AG181" t="s">
        <v>58</v>
      </c>
      <c r="BX181" t="s">
        <v>1695</v>
      </c>
      <c r="BY181">
        <v>50</v>
      </c>
      <c r="BZ181" t="s">
        <v>1696</v>
      </c>
      <c r="CA181" t="s">
        <v>1772</v>
      </c>
      <c r="CB181" t="s">
        <v>1773</v>
      </c>
      <c r="CC181" t="s">
        <v>1774</v>
      </c>
    </row>
    <row r="182" spans="1:81" hidden="1">
      <c r="A182" s="32" t="s">
        <v>455</v>
      </c>
      <c r="B182" s="32" t="s">
        <v>79</v>
      </c>
      <c r="C182" s="23">
        <v>301</v>
      </c>
      <c r="D182" s="23" t="s">
        <v>456</v>
      </c>
      <c r="E182" s="23">
        <v>2</v>
      </c>
      <c r="F182" s="23"/>
      <c r="G182" s="23" t="s">
        <v>52</v>
      </c>
      <c r="H182" s="23"/>
      <c r="I182" s="23"/>
      <c r="J182" s="23"/>
      <c r="K182" s="23" t="s">
        <v>457</v>
      </c>
      <c r="L182" s="23" t="s">
        <v>450</v>
      </c>
      <c r="M182" s="23"/>
      <c r="N182" s="23"/>
      <c r="O182" s="23"/>
      <c r="P182" s="23"/>
      <c r="Q182" s="23"/>
      <c r="R182" s="23"/>
      <c r="S182" s="23" t="s">
        <v>64</v>
      </c>
      <c r="T182" s="23"/>
      <c r="U182" s="23" t="s">
        <v>17</v>
      </c>
      <c r="V182" s="23"/>
      <c r="W182" s="33">
        <v>0.8</v>
      </c>
      <c r="Y182" t="s">
        <v>102</v>
      </c>
      <c r="Z182" t="s">
        <v>53</v>
      </c>
      <c r="AA182" t="s">
        <v>51</v>
      </c>
      <c r="AB182" t="s">
        <v>439</v>
      </c>
      <c r="AF182" t="s">
        <v>1437</v>
      </c>
      <c r="AG182" t="s">
        <v>58</v>
      </c>
      <c r="BX182" t="s">
        <v>1700</v>
      </c>
      <c r="BY182" t="s">
        <v>1775</v>
      </c>
    </row>
    <row r="183" spans="1:81" hidden="1">
      <c r="A183" s="29" t="s">
        <v>458</v>
      </c>
      <c r="B183" s="29" t="s">
        <v>74</v>
      </c>
      <c r="C183" s="30">
        <v>2</v>
      </c>
      <c r="D183" s="30" t="s">
        <v>459</v>
      </c>
      <c r="E183" s="30">
        <v>1</v>
      </c>
      <c r="F183" s="30"/>
      <c r="G183" s="30" t="s">
        <v>52</v>
      </c>
      <c r="H183" s="30"/>
      <c r="I183" s="30"/>
      <c r="J183" s="30"/>
      <c r="K183" s="30" t="s">
        <v>460</v>
      </c>
      <c r="L183" s="30" t="s">
        <v>459</v>
      </c>
      <c r="M183" s="30">
        <v>3</v>
      </c>
      <c r="N183" s="30"/>
      <c r="O183" s="23"/>
      <c r="P183" s="23"/>
      <c r="Q183" s="23"/>
      <c r="R183" s="23"/>
      <c r="S183" s="23" t="s">
        <v>64</v>
      </c>
      <c r="T183" s="23"/>
      <c r="U183" s="23" t="s">
        <v>54</v>
      </c>
      <c r="V183" s="23"/>
      <c r="W183" s="31">
        <v>12.093999999999999</v>
      </c>
      <c r="Y183" t="s">
        <v>40</v>
      </c>
      <c r="Z183" t="s">
        <v>53</v>
      </c>
      <c r="AA183" t="s">
        <v>51</v>
      </c>
      <c r="AB183" t="s">
        <v>439</v>
      </c>
      <c r="AF183" t="s">
        <v>1437</v>
      </c>
      <c r="AG183" t="s">
        <v>58</v>
      </c>
      <c r="BX183" t="s">
        <v>460</v>
      </c>
    </row>
    <row r="184" spans="1:81" hidden="1">
      <c r="A184" s="32" t="s">
        <v>461</v>
      </c>
      <c r="B184" s="32" t="s">
        <v>79</v>
      </c>
      <c r="C184" s="23">
        <v>101</v>
      </c>
      <c r="D184" s="23">
        <v>3177800</v>
      </c>
      <c r="E184" s="23">
        <v>4</v>
      </c>
      <c r="F184" s="23"/>
      <c r="G184" s="23" t="s">
        <v>52</v>
      </c>
      <c r="H184" s="23" t="s">
        <v>462</v>
      </c>
      <c r="I184" s="23"/>
      <c r="J184" s="23"/>
      <c r="K184" s="23" t="s">
        <v>463</v>
      </c>
      <c r="L184" s="23" t="s">
        <v>459</v>
      </c>
      <c r="M184" s="23"/>
      <c r="N184" s="23"/>
      <c r="O184" s="23"/>
      <c r="P184" s="23"/>
      <c r="Q184" s="23"/>
      <c r="R184" s="23"/>
      <c r="S184" s="23" t="s">
        <v>64</v>
      </c>
      <c r="T184" s="23"/>
      <c r="U184" s="23" t="s">
        <v>17</v>
      </c>
      <c r="V184" s="23"/>
      <c r="W184" s="33">
        <v>0.15</v>
      </c>
      <c r="Y184" t="s">
        <v>124</v>
      </c>
      <c r="Z184" t="s">
        <v>53</v>
      </c>
      <c r="AA184" t="s">
        <v>51</v>
      </c>
      <c r="AB184" t="s">
        <v>439</v>
      </c>
      <c r="AF184" t="s">
        <v>1437</v>
      </c>
      <c r="AG184" t="s">
        <v>58</v>
      </c>
      <c r="BX184" t="s">
        <v>1713</v>
      </c>
      <c r="BY184" t="s">
        <v>1776</v>
      </c>
      <c r="BZ184" t="s">
        <v>1714</v>
      </c>
      <c r="CA184" s="76">
        <v>46242</v>
      </c>
      <c r="CB184" t="s">
        <v>1740</v>
      </c>
    </row>
    <row r="185" spans="1:81" hidden="1">
      <c r="A185" s="32" t="s">
        <v>464</v>
      </c>
      <c r="B185" s="32" t="s">
        <v>79</v>
      </c>
      <c r="C185" s="23">
        <v>102</v>
      </c>
      <c r="D185" s="23">
        <v>28506600</v>
      </c>
      <c r="E185" s="23">
        <v>4</v>
      </c>
      <c r="F185" s="23"/>
      <c r="G185" s="23" t="s">
        <v>52</v>
      </c>
      <c r="H185" s="23" t="s">
        <v>357</v>
      </c>
      <c r="I185" s="23"/>
      <c r="J185" s="23"/>
      <c r="K185" s="23" t="s">
        <v>358</v>
      </c>
      <c r="L185" s="23" t="s">
        <v>459</v>
      </c>
      <c r="M185" s="23"/>
      <c r="N185" s="23"/>
      <c r="O185" s="23"/>
      <c r="P185" s="23"/>
      <c r="Q185" s="23"/>
      <c r="R185" s="23"/>
      <c r="S185" s="23" t="s">
        <v>64</v>
      </c>
      <c r="T185" s="23"/>
      <c r="U185" s="23" t="s">
        <v>17</v>
      </c>
      <c r="V185" s="23"/>
      <c r="W185" s="33">
        <v>3.3000000000000002E-2</v>
      </c>
      <c r="Y185" t="s">
        <v>124</v>
      </c>
      <c r="Z185" t="s">
        <v>53</v>
      </c>
      <c r="AA185" t="s">
        <v>51</v>
      </c>
      <c r="AB185" t="s">
        <v>439</v>
      </c>
      <c r="AF185" t="s">
        <v>1437</v>
      </c>
      <c r="AG185" t="s">
        <v>58</v>
      </c>
      <c r="BX185" t="s">
        <v>1717</v>
      </c>
      <c r="BY185" t="s">
        <v>357</v>
      </c>
      <c r="BZ185" t="s">
        <v>1718</v>
      </c>
      <c r="CA185">
        <v>8</v>
      </c>
      <c r="CB185" t="s">
        <v>1715</v>
      </c>
      <c r="CC185" t="s">
        <v>1716</v>
      </c>
    </row>
    <row r="186" spans="1:81" hidden="1">
      <c r="A186" s="32" t="s">
        <v>465</v>
      </c>
      <c r="B186" s="32" t="s">
        <v>79</v>
      </c>
      <c r="C186" s="23">
        <v>103</v>
      </c>
      <c r="D186" s="23">
        <v>5115300</v>
      </c>
      <c r="E186" s="23">
        <v>8</v>
      </c>
      <c r="F186" s="23"/>
      <c r="G186" s="23" t="s">
        <v>52</v>
      </c>
      <c r="H186" s="23">
        <v>17</v>
      </c>
      <c r="I186" s="23"/>
      <c r="J186" s="23"/>
      <c r="K186" s="23" t="s">
        <v>171</v>
      </c>
      <c r="L186" s="23" t="s">
        <v>459</v>
      </c>
      <c r="M186" s="23"/>
      <c r="N186" s="23"/>
      <c r="O186" s="23"/>
      <c r="P186" s="23"/>
      <c r="Q186" s="23"/>
      <c r="R186" s="23"/>
      <c r="S186" s="23" t="s">
        <v>64</v>
      </c>
      <c r="T186" s="23"/>
      <c r="U186" s="23" t="s">
        <v>17</v>
      </c>
      <c r="V186" s="23"/>
      <c r="W186" s="33">
        <v>1.0999999999999999E-2</v>
      </c>
      <c r="Y186" t="s">
        <v>124</v>
      </c>
      <c r="Z186" t="s">
        <v>53</v>
      </c>
      <c r="AA186" t="s">
        <v>51</v>
      </c>
      <c r="AB186" t="s">
        <v>439</v>
      </c>
      <c r="AF186" t="s">
        <v>1437</v>
      </c>
      <c r="AG186" t="s">
        <v>58</v>
      </c>
      <c r="BX186" t="s">
        <v>1719</v>
      </c>
      <c r="BY186" t="s">
        <v>1739</v>
      </c>
      <c r="BZ186" t="s">
        <v>1720</v>
      </c>
      <c r="CB186" t="s">
        <v>1721</v>
      </c>
    </row>
    <row r="187" spans="1:81" hidden="1">
      <c r="A187" s="32" t="s">
        <v>466</v>
      </c>
      <c r="B187" s="32" t="s">
        <v>79</v>
      </c>
      <c r="C187" s="23">
        <v>104</v>
      </c>
      <c r="D187" s="23">
        <v>1921000</v>
      </c>
      <c r="E187" s="23">
        <v>4</v>
      </c>
      <c r="F187" s="23"/>
      <c r="G187" s="23" t="s">
        <v>52</v>
      </c>
      <c r="H187" s="23"/>
      <c r="I187" s="23"/>
      <c r="J187" s="23"/>
      <c r="K187" s="23" t="s">
        <v>467</v>
      </c>
      <c r="L187" s="23" t="s">
        <v>459</v>
      </c>
      <c r="M187" s="23"/>
      <c r="N187" s="23"/>
      <c r="O187" s="23"/>
      <c r="P187" s="23"/>
      <c r="Q187" s="23"/>
      <c r="R187" s="23"/>
      <c r="S187" s="23" t="s">
        <v>64</v>
      </c>
      <c r="T187" s="23"/>
      <c r="U187" s="23" t="s">
        <v>17</v>
      </c>
      <c r="V187" s="23"/>
      <c r="W187" s="33">
        <v>3.1E-2</v>
      </c>
      <c r="Y187" t="s">
        <v>124</v>
      </c>
      <c r="Z187" t="s">
        <v>53</v>
      </c>
      <c r="AA187" t="s">
        <v>51</v>
      </c>
      <c r="AB187" t="s">
        <v>439</v>
      </c>
      <c r="AF187" t="s">
        <v>1437</v>
      </c>
      <c r="AG187" t="s">
        <v>58</v>
      </c>
      <c r="BX187" t="s">
        <v>1719</v>
      </c>
      <c r="BY187">
        <v>18</v>
      </c>
      <c r="BZ187" t="s">
        <v>1707</v>
      </c>
      <c r="CA187" t="s">
        <v>1777</v>
      </c>
      <c r="CB187" t="s">
        <v>52</v>
      </c>
      <c r="CC187" t="s">
        <v>1778</v>
      </c>
    </row>
    <row r="188" spans="1:81" hidden="1">
      <c r="A188" s="32" t="s">
        <v>468</v>
      </c>
      <c r="B188" s="32" t="s">
        <v>79</v>
      </c>
      <c r="C188" s="23">
        <v>301</v>
      </c>
      <c r="D188" s="23" t="s">
        <v>469</v>
      </c>
      <c r="E188" s="23">
        <v>2</v>
      </c>
      <c r="F188" s="23"/>
      <c r="G188" s="23" t="s">
        <v>52</v>
      </c>
      <c r="H188" s="23"/>
      <c r="I188" s="23"/>
      <c r="J188" s="23"/>
      <c r="K188" s="23" t="s">
        <v>470</v>
      </c>
      <c r="L188" s="23" t="s">
        <v>459</v>
      </c>
      <c r="M188" s="23"/>
      <c r="N188" s="23"/>
      <c r="O188" s="23"/>
      <c r="P188" s="23"/>
      <c r="Q188" s="23"/>
      <c r="R188" s="23"/>
      <c r="S188" s="23" t="s">
        <v>64</v>
      </c>
      <c r="T188" s="23"/>
      <c r="U188" s="23" t="s">
        <v>17</v>
      </c>
      <c r="V188" s="23"/>
      <c r="W188" s="33">
        <v>4.3</v>
      </c>
      <c r="Y188" t="s">
        <v>102</v>
      </c>
      <c r="Z188" t="s">
        <v>53</v>
      </c>
      <c r="AA188" t="s">
        <v>51</v>
      </c>
      <c r="AB188" t="s">
        <v>439</v>
      </c>
      <c r="AF188" t="s">
        <v>1437</v>
      </c>
      <c r="AG188" t="s">
        <v>58</v>
      </c>
      <c r="BX188" t="s">
        <v>1722</v>
      </c>
      <c r="BY188" t="s">
        <v>1779</v>
      </c>
    </row>
    <row r="189" spans="1:81" ht="30" hidden="1" customHeight="1">
      <c r="A189" s="32" t="s">
        <v>471</v>
      </c>
      <c r="B189" s="32" t="s">
        <v>79</v>
      </c>
      <c r="C189" s="23">
        <v>302</v>
      </c>
      <c r="D189" s="23">
        <v>3728200</v>
      </c>
      <c r="E189" s="23">
        <v>2</v>
      </c>
      <c r="F189" s="23"/>
      <c r="G189" s="23" t="s">
        <v>52</v>
      </c>
      <c r="H189" s="23"/>
      <c r="I189" s="23"/>
      <c r="J189" s="23"/>
      <c r="K189" s="34" t="s">
        <v>472</v>
      </c>
      <c r="L189" s="23" t="s">
        <v>459</v>
      </c>
      <c r="M189" s="23"/>
      <c r="N189" s="23"/>
      <c r="O189" s="23"/>
      <c r="P189" s="23"/>
      <c r="Q189" s="23"/>
      <c r="R189" s="23"/>
      <c r="S189" s="23" t="s">
        <v>64</v>
      </c>
      <c r="T189" s="23"/>
      <c r="U189" s="23" t="s">
        <v>17</v>
      </c>
      <c r="V189" s="23"/>
      <c r="W189" s="33">
        <v>0.8</v>
      </c>
      <c r="Y189" t="s">
        <v>102</v>
      </c>
      <c r="Z189" t="s">
        <v>53</v>
      </c>
      <c r="AA189" t="s">
        <v>51</v>
      </c>
      <c r="AB189" t="s">
        <v>439</v>
      </c>
      <c r="AF189" t="s">
        <v>1437</v>
      </c>
      <c r="AG189" t="s">
        <v>58</v>
      </c>
      <c r="BX189" t="s">
        <v>1780</v>
      </c>
      <c r="BY189" t="s">
        <v>1781</v>
      </c>
    </row>
    <row r="190" spans="1:81" ht="30" hidden="1" customHeight="1">
      <c r="A190" s="32" t="s">
        <v>473</v>
      </c>
      <c r="B190" s="32" t="s">
        <v>79</v>
      </c>
      <c r="C190" s="23">
        <v>303</v>
      </c>
      <c r="D190" s="23">
        <v>3728400</v>
      </c>
      <c r="E190" s="23">
        <v>2</v>
      </c>
      <c r="F190" s="23"/>
      <c r="G190" s="23" t="s">
        <v>52</v>
      </c>
      <c r="H190" s="23"/>
      <c r="I190" s="23"/>
      <c r="J190" s="23"/>
      <c r="K190" s="34" t="s">
        <v>474</v>
      </c>
      <c r="L190" s="23" t="s">
        <v>459</v>
      </c>
      <c r="M190" s="23"/>
      <c r="N190" s="23"/>
      <c r="O190" s="23"/>
      <c r="P190" s="23"/>
      <c r="Q190" s="23"/>
      <c r="R190" s="23"/>
      <c r="S190" s="23" t="s">
        <v>64</v>
      </c>
      <c r="T190" s="23"/>
      <c r="U190" s="23" t="s">
        <v>17</v>
      </c>
      <c r="V190" s="23"/>
      <c r="W190" s="33">
        <v>0.35</v>
      </c>
      <c r="Y190" t="s">
        <v>102</v>
      </c>
      <c r="Z190" t="s">
        <v>53</v>
      </c>
      <c r="AA190" t="s">
        <v>51</v>
      </c>
      <c r="AB190" t="s">
        <v>439</v>
      </c>
      <c r="AF190" t="s">
        <v>1437</v>
      </c>
      <c r="AG190" t="s">
        <v>58</v>
      </c>
      <c r="BX190" t="s">
        <v>1782</v>
      </c>
    </row>
    <row r="191" spans="1:81" hidden="1">
      <c r="A191" s="32" t="s">
        <v>475</v>
      </c>
      <c r="B191" s="32" t="s">
        <v>79</v>
      </c>
      <c r="C191" s="23">
        <v>304</v>
      </c>
      <c r="D191" s="23" t="s">
        <v>476</v>
      </c>
      <c r="E191" s="23">
        <v>2</v>
      </c>
      <c r="F191" s="23"/>
      <c r="G191" s="23" t="s">
        <v>52</v>
      </c>
      <c r="H191" s="23"/>
      <c r="I191" s="23"/>
      <c r="J191" s="23"/>
      <c r="K191" s="23" t="s">
        <v>477</v>
      </c>
      <c r="L191" s="23" t="s">
        <v>459</v>
      </c>
      <c r="M191" s="23"/>
      <c r="N191" s="23"/>
      <c r="O191" s="23"/>
      <c r="P191" s="23"/>
      <c r="Q191" s="23"/>
      <c r="R191" s="23"/>
      <c r="S191" s="23" t="s">
        <v>64</v>
      </c>
      <c r="T191" s="23"/>
      <c r="U191" s="23" t="s">
        <v>17</v>
      </c>
      <c r="V191" s="23"/>
      <c r="W191" s="33">
        <v>4.3999999999999997E-2</v>
      </c>
      <c r="Y191" t="s">
        <v>102</v>
      </c>
      <c r="Z191" t="s">
        <v>53</v>
      </c>
      <c r="AA191" t="s">
        <v>51</v>
      </c>
      <c r="AB191" t="s">
        <v>439</v>
      </c>
      <c r="AF191" t="s">
        <v>1437</v>
      </c>
      <c r="AG191" t="s">
        <v>58</v>
      </c>
      <c r="BX191" t="s">
        <v>1726</v>
      </c>
      <c r="BY191" t="s">
        <v>1783</v>
      </c>
    </row>
    <row r="192" spans="1:81" ht="45" hidden="1" customHeight="1">
      <c r="A192" s="32" t="s">
        <v>478</v>
      </c>
      <c r="B192" s="32" t="s">
        <v>79</v>
      </c>
      <c r="C192" s="23">
        <v>305</v>
      </c>
      <c r="D192" s="23" t="s">
        <v>479</v>
      </c>
      <c r="E192" s="23">
        <v>2</v>
      </c>
      <c r="F192" s="23"/>
      <c r="G192" s="23" t="s">
        <v>52</v>
      </c>
      <c r="H192" s="23"/>
      <c r="I192" s="23"/>
      <c r="J192" s="23"/>
      <c r="K192" s="34" t="s">
        <v>480</v>
      </c>
      <c r="L192" s="23" t="s">
        <v>459</v>
      </c>
      <c r="M192" s="23"/>
      <c r="N192" s="23"/>
      <c r="O192" s="23"/>
      <c r="P192" s="23"/>
      <c r="Q192" s="23"/>
      <c r="R192" s="23"/>
      <c r="S192" s="23" t="s">
        <v>64</v>
      </c>
      <c r="T192" s="23"/>
      <c r="U192" s="23" t="s">
        <v>17</v>
      </c>
      <c r="V192" s="23"/>
      <c r="W192" s="33">
        <v>1E-3</v>
      </c>
      <c r="Y192" t="s">
        <v>102</v>
      </c>
      <c r="Z192" t="s">
        <v>53</v>
      </c>
      <c r="AA192" t="s">
        <v>51</v>
      </c>
      <c r="AB192" t="s">
        <v>439</v>
      </c>
      <c r="AF192" t="s">
        <v>1437</v>
      </c>
      <c r="AG192" t="s">
        <v>58</v>
      </c>
      <c r="BX192" t="s">
        <v>1784</v>
      </c>
    </row>
    <row r="193" spans="1:96" ht="45" hidden="1" customHeight="1">
      <c r="A193" s="32" t="s">
        <v>481</v>
      </c>
      <c r="B193" s="32" t="s">
        <v>79</v>
      </c>
      <c r="C193" s="23">
        <v>306</v>
      </c>
      <c r="D193" s="23" t="s">
        <v>482</v>
      </c>
      <c r="E193" s="23">
        <v>2</v>
      </c>
      <c r="F193" s="23"/>
      <c r="G193" s="23" t="s">
        <v>52</v>
      </c>
      <c r="H193" s="23"/>
      <c r="I193" s="23"/>
      <c r="J193" s="23"/>
      <c r="K193" s="34" t="s">
        <v>483</v>
      </c>
      <c r="L193" s="23" t="s">
        <v>459</v>
      </c>
      <c r="M193" s="23"/>
      <c r="N193" s="23"/>
      <c r="O193" s="23"/>
      <c r="P193" s="23"/>
      <c r="Q193" s="23"/>
      <c r="R193" s="23"/>
      <c r="S193" s="23" t="s">
        <v>64</v>
      </c>
      <c r="T193" s="23"/>
      <c r="U193" s="23" t="s">
        <v>17</v>
      </c>
      <c r="V193" s="23"/>
      <c r="W193" s="33">
        <v>0.01</v>
      </c>
      <c r="Y193" t="s">
        <v>102</v>
      </c>
      <c r="Z193" t="s">
        <v>53</v>
      </c>
      <c r="AA193" t="s">
        <v>51</v>
      </c>
      <c r="AB193" t="s">
        <v>439</v>
      </c>
      <c r="AF193" t="s">
        <v>1437</v>
      </c>
      <c r="AG193" t="s">
        <v>58</v>
      </c>
      <c r="BX193" t="s">
        <v>1730</v>
      </c>
    </row>
    <row r="194" spans="1:96" hidden="1">
      <c r="A194" s="32" t="s">
        <v>484</v>
      </c>
      <c r="B194" s="32" t="s">
        <v>79</v>
      </c>
      <c r="C194" s="23">
        <v>307</v>
      </c>
      <c r="D194" s="23">
        <v>5038300</v>
      </c>
      <c r="E194" s="23">
        <v>2</v>
      </c>
      <c r="F194" s="23"/>
      <c r="G194" s="23" t="s">
        <v>52</v>
      </c>
      <c r="H194" s="23" t="s">
        <v>149</v>
      </c>
      <c r="I194" s="23"/>
      <c r="J194" s="23"/>
      <c r="K194" s="23" t="s">
        <v>150</v>
      </c>
      <c r="L194" s="23" t="s">
        <v>459</v>
      </c>
      <c r="M194" s="23"/>
      <c r="N194" s="23"/>
      <c r="O194" s="23"/>
      <c r="P194" s="23"/>
      <c r="Q194" s="23"/>
      <c r="R194" s="23"/>
      <c r="S194" s="23" t="s">
        <v>64</v>
      </c>
      <c r="T194" s="23"/>
      <c r="U194" s="23" t="s">
        <v>17</v>
      </c>
      <c r="V194" s="23"/>
      <c r="W194" s="33">
        <v>0.05</v>
      </c>
      <c r="Y194" t="s">
        <v>102</v>
      </c>
      <c r="Z194" t="s">
        <v>53</v>
      </c>
      <c r="AA194" t="s">
        <v>51</v>
      </c>
      <c r="AB194" t="s">
        <v>439</v>
      </c>
      <c r="AF194" t="s">
        <v>1437</v>
      </c>
      <c r="AG194" t="s">
        <v>58</v>
      </c>
      <c r="BX194" t="s">
        <v>1731</v>
      </c>
      <c r="BY194" t="s">
        <v>1732</v>
      </c>
      <c r="BZ194" t="s">
        <v>763</v>
      </c>
      <c r="CA194" t="s">
        <v>1733</v>
      </c>
      <c r="CB194" t="s">
        <v>1734</v>
      </c>
    </row>
    <row r="195" spans="1:96" ht="30" hidden="1" customHeight="1">
      <c r="A195" s="32" t="s">
        <v>485</v>
      </c>
      <c r="B195" s="32" t="s">
        <v>79</v>
      </c>
      <c r="C195" s="23">
        <v>308</v>
      </c>
      <c r="D195" s="23">
        <v>3661300</v>
      </c>
      <c r="E195" s="23">
        <v>2</v>
      </c>
      <c r="F195" s="23"/>
      <c r="G195" s="23" t="s">
        <v>52</v>
      </c>
      <c r="H195" s="23"/>
      <c r="I195" s="23"/>
      <c r="J195" s="23"/>
      <c r="K195" s="34" t="s">
        <v>152</v>
      </c>
      <c r="L195" s="23" t="s">
        <v>459</v>
      </c>
      <c r="M195" s="23"/>
      <c r="N195" s="23"/>
      <c r="O195" s="23"/>
      <c r="P195" s="23"/>
      <c r="Q195" s="23"/>
      <c r="R195" s="23"/>
      <c r="S195" s="23" t="s">
        <v>64</v>
      </c>
      <c r="T195" s="23"/>
      <c r="U195" s="23" t="s">
        <v>17</v>
      </c>
      <c r="V195" s="23"/>
      <c r="W195" s="33">
        <v>0.02</v>
      </c>
      <c r="Y195" t="s">
        <v>102</v>
      </c>
      <c r="Z195" t="s">
        <v>53</v>
      </c>
      <c r="AA195" t="s">
        <v>51</v>
      </c>
      <c r="AB195" t="s">
        <v>439</v>
      </c>
      <c r="AF195" t="s">
        <v>1437</v>
      </c>
      <c r="AG195" t="s">
        <v>58</v>
      </c>
      <c r="BX195" t="s">
        <v>1735</v>
      </c>
    </row>
    <row r="196" spans="1:96" hidden="1">
      <c r="A196" s="29" t="s">
        <v>486</v>
      </c>
      <c r="B196" s="29" t="s">
        <v>74</v>
      </c>
      <c r="C196" s="30">
        <v>3</v>
      </c>
      <c r="D196" s="30" t="s">
        <v>487</v>
      </c>
      <c r="E196" s="30">
        <v>1</v>
      </c>
      <c r="F196" s="30"/>
      <c r="G196" s="30" t="s">
        <v>52</v>
      </c>
      <c r="H196" s="30"/>
      <c r="I196" s="30"/>
      <c r="J196" s="30"/>
      <c r="K196" s="30" t="s">
        <v>488</v>
      </c>
      <c r="L196" s="30" t="s">
        <v>487</v>
      </c>
      <c r="M196" s="30">
        <v>3</v>
      </c>
      <c r="N196" s="30"/>
      <c r="O196" s="23"/>
      <c r="P196" s="23"/>
      <c r="Q196" s="23"/>
      <c r="R196" s="23"/>
      <c r="S196" s="23" t="s">
        <v>64</v>
      </c>
      <c r="T196" s="23"/>
      <c r="U196" s="23" t="s">
        <v>54</v>
      </c>
      <c r="V196" s="23"/>
      <c r="W196" s="31">
        <v>61.76</v>
      </c>
      <c r="Y196" t="s">
        <v>40</v>
      </c>
      <c r="Z196" t="s">
        <v>53</v>
      </c>
      <c r="AA196" t="s">
        <v>51</v>
      </c>
      <c r="AB196" t="s">
        <v>439</v>
      </c>
      <c r="AF196" t="s">
        <v>1437</v>
      </c>
      <c r="AG196" t="s">
        <v>58</v>
      </c>
      <c r="BX196" t="s">
        <v>488</v>
      </c>
    </row>
    <row r="197" spans="1:96" hidden="1">
      <c r="A197" s="29" t="s">
        <v>489</v>
      </c>
      <c r="B197" s="29" t="s">
        <v>79</v>
      </c>
      <c r="C197" s="30">
        <v>1</v>
      </c>
      <c r="D197" s="30" t="s">
        <v>490</v>
      </c>
      <c r="E197" s="30">
        <v>1</v>
      </c>
      <c r="F197" s="30"/>
      <c r="G197" s="30" t="s">
        <v>52</v>
      </c>
      <c r="H197" s="30"/>
      <c r="I197" s="30"/>
      <c r="J197" s="30"/>
      <c r="K197" s="30" t="s">
        <v>491</v>
      </c>
      <c r="L197" s="30" t="s">
        <v>492</v>
      </c>
      <c r="M197" s="30">
        <v>1</v>
      </c>
      <c r="N197" s="30"/>
      <c r="O197" s="23"/>
      <c r="P197" s="23"/>
      <c r="Q197" s="23"/>
      <c r="R197" s="23"/>
      <c r="S197" s="23" t="s">
        <v>64</v>
      </c>
      <c r="T197" s="23"/>
      <c r="U197" s="23" t="s">
        <v>54</v>
      </c>
      <c r="V197" s="23"/>
      <c r="W197" s="31">
        <v>30.88</v>
      </c>
      <c r="Y197" t="s">
        <v>40</v>
      </c>
      <c r="Z197" t="s">
        <v>53</v>
      </c>
      <c r="AA197" t="s">
        <v>51</v>
      </c>
      <c r="AB197" t="s">
        <v>439</v>
      </c>
      <c r="AC197" t="s">
        <v>1420</v>
      </c>
      <c r="AF197" t="s">
        <v>1437</v>
      </c>
      <c r="AG197" t="s">
        <v>58</v>
      </c>
      <c r="BX197" t="s">
        <v>491</v>
      </c>
    </row>
    <row r="198" spans="1:96" hidden="1">
      <c r="A198" s="32" t="s">
        <v>493</v>
      </c>
      <c r="B198" s="32" t="s">
        <v>83</v>
      </c>
      <c r="C198" s="23">
        <v>2</v>
      </c>
      <c r="D198" s="23">
        <v>3676500</v>
      </c>
      <c r="E198" s="23">
        <v>1</v>
      </c>
      <c r="F198" s="23" t="s">
        <v>494</v>
      </c>
      <c r="G198" s="23" t="s">
        <v>85</v>
      </c>
      <c r="H198" s="23" t="s">
        <v>494</v>
      </c>
      <c r="I198" s="23" t="s">
        <v>85</v>
      </c>
      <c r="J198" s="23">
        <v>0</v>
      </c>
      <c r="K198" s="23" t="s">
        <v>495</v>
      </c>
      <c r="L198" s="23" t="s">
        <v>492</v>
      </c>
      <c r="M198" s="23"/>
      <c r="N198" s="23"/>
      <c r="O198" s="23"/>
      <c r="P198" s="23"/>
      <c r="Q198" s="23"/>
      <c r="R198" s="23"/>
      <c r="S198" s="23" t="s">
        <v>64</v>
      </c>
      <c r="T198" s="23"/>
      <c r="U198" s="23" t="s">
        <v>87</v>
      </c>
      <c r="V198" s="23"/>
      <c r="W198" s="33">
        <v>0</v>
      </c>
      <c r="Y198" t="s">
        <v>365</v>
      </c>
      <c r="Z198" t="s">
        <v>53</v>
      </c>
      <c r="AA198" t="s">
        <v>51</v>
      </c>
      <c r="AB198" t="s">
        <v>439</v>
      </c>
      <c r="AC198" t="s">
        <v>1420</v>
      </c>
      <c r="AF198" t="s">
        <v>1437</v>
      </c>
      <c r="AG198" t="s">
        <v>58</v>
      </c>
      <c r="BX198" t="s">
        <v>1785</v>
      </c>
      <c r="BY198" t="s">
        <v>1786</v>
      </c>
      <c r="BZ198" t="s">
        <v>1787</v>
      </c>
      <c r="CA198" t="s">
        <v>1737</v>
      </c>
    </row>
    <row r="199" spans="1:96" hidden="1">
      <c r="A199" s="32" t="s">
        <v>496</v>
      </c>
      <c r="B199" s="32" t="s">
        <v>83</v>
      </c>
      <c r="C199" s="23">
        <v>3</v>
      </c>
      <c r="D199" s="23">
        <v>2500</v>
      </c>
      <c r="E199" s="23">
        <v>1</v>
      </c>
      <c r="F199" s="23">
        <v>6.0000000000000001E-3</v>
      </c>
      <c r="G199" s="23" t="s">
        <v>89</v>
      </c>
      <c r="H199" s="23">
        <v>50</v>
      </c>
      <c r="I199" s="23" t="s">
        <v>85</v>
      </c>
      <c r="J199" s="23">
        <v>110</v>
      </c>
      <c r="K199" s="23" t="s">
        <v>497</v>
      </c>
      <c r="L199" s="23" t="s">
        <v>492</v>
      </c>
      <c r="M199" s="23"/>
      <c r="N199" s="23"/>
      <c r="O199" s="23"/>
      <c r="P199" s="23"/>
      <c r="Q199" s="23"/>
      <c r="R199" s="23"/>
      <c r="S199" s="23" t="s">
        <v>64</v>
      </c>
      <c r="T199" s="23"/>
      <c r="U199" s="23" t="s">
        <v>87</v>
      </c>
      <c r="V199" s="23"/>
      <c r="W199" s="33">
        <v>0</v>
      </c>
      <c r="Y199" t="s">
        <v>161</v>
      </c>
      <c r="Z199" t="s">
        <v>53</v>
      </c>
      <c r="AA199" t="s">
        <v>51</v>
      </c>
      <c r="AB199" t="s">
        <v>439</v>
      </c>
      <c r="AC199" t="s">
        <v>1420</v>
      </c>
      <c r="AF199" t="s">
        <v>1437</v>
      </c>
      <c r="AG199" t="s">
        <v>58</v>
      </c>
      <c r="AI199" t="str">
        <f>BY199&amp;"_"&amp;CB199&amp;"_"&amp;L199&amp;"_p"&amp;C199&amp;"_"&amp;E199&amp;"st_"&amp;AK199&amp;"_"&amp;RIGHT(AG199,4)&amp;"_"&amp;AL199</f>
        <v>15_S235_SL40043211_p3_1st__2050_</v>
      </c>
      <c r="AM199" t="s">
        <v>1673</v>
      </c>
      <c r="AZ199" s="64" t="s">
        <v>1521</v>
      </c>
      <c r="BA199" s="64" t="s">
        <v>1522</v>
      </c>
      <c r="BX199" t="s">
        <v>1691</v>
      </c>
      <c r="BY199">
        <v>15</v>
      </c>
      <c r="BZ199" t="s">
        <v>1692</v>
      </c>
      <c r="CA199" t="s">
        <v>1736</v>
      </c>
      <c r="CB199" t="s">
        <v>1895</v>
      </c>
      <c r="CG199">
        <v>15</v>
      </c>
      <c r="CH199" t="s">
        <v>1895</v>
      </c>
      <c r="CI199" t="s">
        <v>492</v>
      </c>
      <c r="CJ199" t="s">
        <v>1904</v>
      </c>
      <c r="CK199" t="s">
        <v>1902</v>
      </c>
      <c r="CL199" t="s">
        <v>19</v>
      </c>
      <c r="CM199">
        <v>3656</v>
      </c>
      <c r="CR199" t="s">
        <v>1983</v>
      </c>
    </row>
    <row r="200" spans="1:96" hidden="1">
      <c r="A200" s="32" t="s">
        <v>498</v>
      </c>
      <c r="B200" s="32" t="s">
        <v>83</v>
      </c>
      <c r="C200" s="23">
        <v>101</v>
      </c>
      <c r="D200" s="23">
        <v>735800</v>
      </c>
      <c r="E200" s="23">
        <v>2</v>
      </c>
      <c r="F200" s="23"/>
      <c r="G200" s="23" t="s">
        <v>52</v>
      </c>
      <c r="H200" s="23" t="s">
        <v>411</v>
      </c>
      <c r="I200" s="23"/>
      <c r="J200" s="23"/>
      <c r="K200" s="23" t="s">
        <v>412</v>
      </c>
      <c r="L200" s="23" t="s">
        <v>492</v>
      </c>
      <c r="M200" s="23"/>
      <c r="N200" s="23"/>
      <c r="O200" s="23"/>
      <c r="P200" s="23"/>
      <c r="Q200" s="23"/>
      <c r="R200" s="23"/>
      <c r="S200" s="23" t="s">
        <v>64</v>
      </c>
      <c r="T200" s="23"/>
      <c r="U200" s="23" t="s">
        <v>17</v>
      </c>
      <c r="V200" s="23"/>
      <c r="W200" s="33">
        <v>0.09</v>
      </c>
      <c r="Y200" t="s">
        <v>124</v>
      </c>
      <c r="Z200" t="s">
        <v>53</v>
      </c>
      <c r="AA200" t="s">
        <v>51</v>
      </c>
      <c r="AB200" t="s">
        <v>439</v>
      </c>
      <c r="AC200" t="s">
        <v>1420</v>
      </c>
      <c r="AF200" t="s">
        <v>1437</v>
      </c>
      <c r="AG200" t="s">
        <v>58</v>
      </c>
      <c r="BX200" t="s">
        <v>1717</v>
      </c>
      <c r="BY200" t="s">
        <v>411</v>
      </c>
      <c r="BZ200" t="s">
        <v>1718</v>
      </c>
      <c r="CA200">
        <v>8</v>
      </c>
      <c r="CB200" t="s">
        <v>1715</v>
      </c>
      <c r="CC200" t="s">
        <v>1716</v>
      </c>
    </row>
    <row r="201" spans="1:96" hidden="1">
      <c r="A201" s="32" t="s">
        <v>499</v>
      </c>
      <c r="B201" s="32" t="s">
        <v>83</v>
      </c>
      <c r="C201" s="23">
        <v>102</v>
      </c>
      <c r="D201" s="23">
        <v>2748400</v>
      </c>
      <c r="E201" s="23">
        <v>2</v>
      </c>
      <c r="F201" s="23"/>
      <c r="G201" s="23" t="s">
        <v>52</v>
      </c>
      <c r="H201" s="23" t="s">
        <v>411</v>
      </c>
      <c r="I201" s="23"/>
      <c r="J201" s="23"/>
      <c r="K201" s="23" t="s">
        <v>500</v>
      </c>
      <c r="L201" s="23" t="s">
        <v>492</v>
      </c>
      <c r="M201" s="23"/>
      <c r="N201" s="23"/>
      <c r="O201" s="23"/>
      <c r="P201" s="23"/>
      <c r="Q201" s="23"/>
      <c r="R201" s="23"/>
      <c r="S201" s="23" t="s">
        <v>64</v>
      </c>
      <c r="T201" s="23"/>
      <c r="U201" s="23" t="s">
        <v>17</v>
      </c>
      <c r="V201" s="23"/>
      <c r="W201" s="33">
        <v>0</v>
      </c>
      <c r="Y201" t="s">
        <v>124</v>
      </c>
      <c r="Z201" t="s">
        <v>53</v>
      </c>
      <c r="AA201" t="s">
        <v>51</v>
      </c>
      <c r="AB201" t="s">
        <v>439</v>
      </c>
      <c r="AC201" t="s">
        <v>1420</v>
      </c>
      <c r="AF201" t="s">
        <v>1437</v>
      </c>
      <c r="AG201" t="s">
        <v>58</v>
      </c>
      <c r="BX201" t="s">
        <v>1717</v>
      </c>
      <c r="BY201" t="s">
        <v>411</v>
      </c>
      <c r="BZ201" t="s">
        <v>1762</v>
      </c>
      <c r="CA201">
        <v>4</v>
      </c>
      <c r="CB201" t="s">
        <v>1740</v>
      </c>
    </row>
    <row r="202" spans="1:96" hidden="1">
      <c r="A202" s="32" t="s">
        <v>501</v>
      </c>
      <c r="B202" s="32" t="s">
        <v>83</v>
      </c>
      <c r="C202" s="23">
        <v>103</v>
      </c>
      <c r="D202" s="23" t="s">
        <v>502</v>
      </c>
      <c r="E202" s="23">
        <v>1</v>
      </c>
      <c r="F202" s="23">
        <v>1.4</v>
      </c>
      <c r="G202" s="23" t="s">
        <v>408</v>
      </c>
      <c r="H202" s="23" t="s">
        <v>503</v>
      </c>
      <c r="I202" s="23" t="s">
        <v>85</v>
      </c>
      <c r="J202" s="23">
        <v>0</v>
      </c>
      <c r="K202" s="23" t="s">
        <v>504</v>
      </c>
      <c r="L202" s="23" t="s">
        <v>492</v>
      </c>
      <c r="M202" s="23"/>
      <c r="N202" s="23"/>
      <c r="O202" s="23"/>
      <c r="P202" s="23"/>
      <c r="Q202" s="23"/>
      <c r="R202" s="23"/>
      <c r="S202" s="23" t="s">
        <v>64</v>
      </c>
      <c r="T202" s="23"/>
      <c r="U202" s="23" t="s">
        <v>17</v>
      </c>
      <c r="V202" s="23"/>
      <c r="W202" s="33">
        <v>2.7</v>
      </c>
      <c r="Y202" t="s">
        <v>124</v>
      </c>
      <c r="Z202" t="s">
        <v>53</v>
      </c>
      <c r="AA202" t="s">
        <v>51</v>
      </c>
      <c r="AB202" t="s">
        <v>439</v>
      </c>
      <c r="AC202" t="s">
        <v>1420</v>
      </c>
      <c r="AF202" t="s">
        <v>1437</v>
      </c>
      <c r="AG202" t="s">
        <v>58</v>
      </c>
      <c r="BX202" t="s">
        <v>504</v>
      </c>
    </row>
    <row r="203" spans="1:96" hidden="1">
      <c r="A203" s="29" t="s">
        <v>505</v>
      </c>
      <c r="B203" s="29" t="s">
        <v>79</v>
      </c>
      <c r="C203" s="30">
        <v>2</v>
      </c>
      <c r="D203" s="30" t="s">
        <v>492</v>
      </c>
      <c r="E203" s="30">
        <v>1</v>
      </c>
      <c r="F203" s="30"/>
      <c r="G203" s="30" t="s">
        <v>52</v>
      </c>
      <c r="H203" s="30"/>
      <c r="I203" s="30"/>
      <c r="J203" s="30"/>
      <c r="K203" s="30" t="s">
        <v>491</v>
      </c>
      <c r="L203" s="30" t="s">
        <v>492</v>
      </c>
      <c r="M203" s="30">
        <v>1</v>
      </c>
      <c r="N203" s="30"/>
      <c r="O203" s="23"/>
      <c r="P203" s="23"/>
      <c r="Q203" s="23"/>
      <c r="R203" s="23"/>
      <c r="S203" s="23" t="s">
        <v>64</v>
      </c>
      <c r="T203" s="23"/>
      <c r="U203" s="23" t="s">
        <v>54</v>
      </c>
      <c r="V203" s="23"/>
      <c r="W203" s="31">
        <v>30.88</v>
      </c>
      <c r="Y203" t="s">
        <v>40</v>
      </c>
      <c r="Z203" t="s">
        <v>53</v>
      </c>
      <c r="AA203" t="s">
        <v>51</v>
      </c>
      <c r="AB203" t="s">
        <v>439</v>
      </c>
      <c r="AC203" t="s">
        <v>1420</v>
      </c>
      <c r="AF203" t="s">
        <v>1437</v>
      </c>
      <c r="AG203" t="s">
        <v>58</v>
      </c>
      <c r="BX203" t="s">
        <v>491</v>
      </c>
    </row>
    <row r="204" spans="1:96" hidden="1">
      <c r="A204" s="32" t="s">
        <v>506</v>
      </c>
      <c r="B204" s="32" t="s">
        <v>83</v>
      </c>
      <c r="C204" s="23">
        <v>1</v>
      </c>
      <c r="D204" s="23">
        <v>3676500</v>
      </c>
      <c r="E204" s="23">
        <v>1</v>
      </c>
      <c r="F204" s="23" t="s">
        <v>494</v>
      </c>
      <c r="G204" s="23" t="s">
        <v>85</v>
      </c>
      <c r="H204" s="23" t="s">
        <v>494</v>
      </c>
      <c r="I204" s="23" t="s">
        <v>85</v>
      </c>
      <c r="J204" s="23">
        <v>0</v>
      </c>
      <c r="K204" s="23" t="s">
        <v>495</v>
      </c>
      <c r="L204" s="23" t="s">
        <v>492</v>
      </c>
      <c r="M204" s="23"/>
      <c r="N204" s="23"/>
      <c r="O204" s="23"/>
      <c r="P204" s="23"/>
      <c r="Q204" s="23"/>
      <c r="R204" s="23"/>
      <c r="S204" s="23" t="s">
        <v>64</v>
      </c>
      <c r="T204" s="23"/>
      <c r="U204" s="23" t="s">
        <v>87</v>
      </c>
      <c r="V204" s="23"/>
      <c r="W204" s="33">
        <v>0</v>
      </c>
      <c r="Y204" t="s">
        <v>365</v>
      </c>
      <c r="Z204" t="s">
        <v>53</v>
      </c>
      <c r="AA204" t="s">
        <v>51</v>
      </c>
      <c r="AB204" t="s">
        <v>439</v>
      </c>
      <c r="AC204" t="s">
        <v>1420</v>
      </c>
      <c r="AF204" t="s">
        <v>1437</v>
      </c>
      <c r="AG204" t="s">
        <v>58</v>
      </c>
      <c r="BX204" t="s">
        <v>1785</v>
      </c>
      <c r="BY204" t="s">
        <v>1786</v>
      </c>
      <c r="BZ204" t="s">
        <v>1787</v>
      </c>
      <c r="CA204" t="s">
        <v>1737</v>
      </c>
    </row>
    <row r="205" spans="1:96" hidden="1">
      <c r="A205" s="32" t="s">
        <v>507</v>
      </c>
      <c r="B205" s="32" t="s">
        <v>83</v>
      </c>
      <c r="C205" s="23">
        <v>3</v>
      </c>
      <c r="D205" s="23">
        <v>2500</v>
      </c>
      <c r="E205" s="23">
        <v>1</v>
      </c>
      <c r="F205" s="23">
        <v>6.0000000000000001E-3</v>
      </c>
      <c r="G205" s="23" t="s">
        <v>89</v>
      </c>
      <c r="H205" s="23">
        <v>50</v>
      </c>
      <c r="I205" s="23" t="s">
        <v>85</v>
      </c>
      <c r="J205" s="23">
        <v>110</v>
      </c>
      <c r="K205" s="23" t="s">
        <v>497</v>
      </c>
      <c r="L205" s="23" t="s">
        <v>492</v>
      </c>
      <c r="M205" s="23"/>
      <c r="N205" s="23"/>
      <c r="O205" s="23"/>
      <c r="P205" s="23"/>
      <c r="Q205" s="23"/>
      <c r="R205" s="23"/>
      <c r="S205" s="23" t="s">
        <v>64</v>
      </c>
      <c r="T205" s="23"/>
      <c r="U205" s="23" t="s">
        <v>87</v>
      </c>
      <c r="V205" s="23"/>
      <c r="W205" s="33">
        <v>0</v>
      </c>
      <c r="Y205" t="s">
        <v>161</v>
      </c>
      <c r="Z205" t="s">
        <v>53</v>
      </c>
      <c r="AA205" t="s">
        <v>51</v>
      </c>
      <c r="AB205" t="s">
        <v>439</v>
      </c>
      <c r="AC205" t="s">
        <v>1420</v>
      </c>
      <c r="AF205" t="s">
        <v>1437</v>
      </c>
      <c r="AG205" t="s">
        <v>58</v>
      </c>
      <c r="AI205" t="str">
        <f>BY205&amp;"_"&amp;CB205&amp;"_"&amp;L205&amp;"_p"&amp;C205&amp;"_"&amp;E205&amp;"st_"&amp;AK205&amp;"_"&amp;RIGHT(AG205,4)&amp;"_"&amp;AL205</f>
        <v>15_S235_SL40043211_p3_1st__2050_</v>
      </c>
      <c r="AM205" t="s">
        <v>1673</v>
      </c>
      <c r="AZ205" s="64" t="s">
        <v>1521</v>
      </c>
      <c r="BA205" s="64" t="s">
        <v>1522</v>
      </c>
      <c r="BX205" t="s">
        <v>1691</v>
      </c>
      <c r="BY205">
        <v>15</v>
      </c>
      <c r="BZ205" t="s">
        <v>1692</v>
      </c>
      <c r="CA205" t="s">
        <v>1736</v>
      </c>
      <c r="CB205" t="s">
        <v>1895</v>
      </c>
      <c r="CG205">
        <v>15</v>
      </c>
      <c r="CH205" t="s">
        <v>1895</v>
      </c>
      <c r="CI205" t="s">
        <v>492</v>
      </c>
      <c r="CJ205" t="s">
        <v>1904</v>
      </c>
      <c r="CK205" t="s">
        <v>1902</v>
      </c>
      <c r="CL205" t="s">
        <v>19</v>
      </c>
      <c r="CM205">
        <v>3656</v>
      </c>
      <c r="CR205" t="s">
        <v>1983</v>
      </c>
    </row>
    <row r="206" spans="1:96" hidden="1">
      <c r="A206" s="32" t="s">
        <v>508</v>
      </c>
      <c r="B206" s="32" t="s">
        <v>83</v>
      </c>
      <c r="C206" s="23">
        <v>101</v>
      </c>
      <c r="D206" s="23">
        <v>735800</v>
      </c>
      <c r="E206" s="23">
        <v>2</v>
      </c>
      <c r="F206" s="23"/>
      <c r="G206" s="23" t="s">
        <v>52</v>
      </c>
      <c r="H206" s="23" t="s">
        <v>411</v>
      </c>
      <c r="I206" s="23"/>
      <c r="J206" s="23"/>
      <c r="K206" s="23" t="s">
        <v>412</v>
      </c>
      <c r="L206" s="23" t="s">
        <v>492</v>
      </c>
      <c r="M206" s="23"/>
      <c r="N206" s="23"/>
      <c r="O206" s="23"/>
      <c r="P206" s="23"/>
      <c r="Q206" s="23"/>
      <c r="R206" s="23"/>
      <c r="S206" s="23" t="s">
        <v>64</v>
      </c>
      <c r="T206" s="23"/>
      <c r="U206" s="23" t="s">
        <v>17</v>
      </c>
      <c r="V206" s="23"/>
      <c r="W206" s="33">
        <v>0.09</v>
      </c>
      <c r="Y206" t="s">
        <v>124</v>
      </c>
      <c r="Z206" t="s">
        <v>53</v>
      </c>
      <c r="AA206" t="s">
        <v>51</v>
      </c>
      <c r="AB206" t="s">
        <v>439</v>
      </c>
      <c r="AC206" t="s">
        <v>1420</v>
      </c>
      <c r="AF206" t="s">
        <v>1437</v>
      </c>
      <c r="AG206" t="s">
        <v>58</v>
      </c>
      <c r="BX206" t="s">
        <v>1717</v>
      </c>
      <c r="BY206" t="s">
        <v>411</v>
      </c>
      <c r="BZ206" t="s">
        <v>1718</v>
      </c>
      <c r="CA206">
        <v>8</v>
      </c>
      <c r="CB206" t="s">
        <v>1715</v>
      </c>
      <c r="CC206" t="s">
        <v>1716</v>
      </c>
    </row>
    <row r="207" spans="1:96" hidden="1">
      <c r="A207" s="32" t="s">
        <v>509</v>
      </c>
      <c r="B207" s="32" t="s">
        <v>83</v>
      </c>
      <c r="C207" s="23">
        <v>102</v>
      </c>
      <c r="D207" s="23">
        <v>2748400</v>
      </c>
      <c r="E207" s="23">
        <v>2</v>
      </c>
      <c r="F207" s="23"/>
      <c r="G207" s="23" t="s">
        <v>52</v>
      </c>
      <c r="H207" s="23" t="s">
        <v>411</v>
      </c>
      <c r="I207" s="23"/>
      <c r="J207" s="23"/>
      <c r="K207" s="23" t="s">
        <v>500</v>
      </c>
      <c r="L207" s="23" t="s">
        <v>492</v>
      </c>
      <c r="M207" s="23"/>
      <c r="N207" s="23"/>
      <c r="O207" s="23"/>
      <c r="P207" s="23"/>
      <c r="Q207" s="23"/>
      <c r="R207" s="23"/>
      <c r="S207" s="23" t="s">
        <v>64</v>
      </c>
      <c r="T207" s="23"/>
      <c r="U207" s="23" t="s">
        <v>17</v>
      </c>
      <c r="V207" s="23"/>
      <c r="W207" s="33">
        <v>0</v>
      </c>
      <c r="Y207" t="s">
        <v>124</v>
      </c>
      <c r="Z207" t="s">
        <v>53</v>
      </c>
      <c r="AA207" t="s">
        <v>51</v>
      </c>
      <c r="AB207" t="s">
        <v>439</v>
      </c>
      <c r="AC207" t="s">
        <v>1420</v>
      </c>
      <c r="AF207" t="s">
        <v>1437</v>
      </c>
      <c r="AG207" t="s">
        <v>58</v>
      </c>
      <c r="BX207" t="s">
        <v>1717</v>
      </c>
      <c r="BY207" t="s">
        <v>411</v>
      </c>
      <c r="BZ207" t="s">
        <v>1762</v>
      </c>
      <c r="CA207">
        <v>4</v>
      </c>
      <c r="CB207" t="s">
        <v>1740</v>
      </c>
    </row>
    <row r="208" spans="1:96" hidden="1">
      <c r="A208" s="32" t="s">
        <v>510</v>
      </c>
      <c r="B208" s="32" t="s">
        <v>83</v>
      </c>
      <c r="C208" s="23">
        <v>103</v>
      </c>
      <c r="D208" s="23" t="s">
        <v>502</v>
      </c>
      <c r="E208" s="23">
        <v>1</v>
      </c>
      <c r="F208" s="23">
        <v>1.4</v>
      </c>
      <c r="G208" s="23" t="s">
        <v>408</v>
      </c>
      <c r="H208" s="23" t="s">
        <v>503</v>
      </c>
      <c r="I208" s="23" t="s">
        <v>85</v>
      </c>
      <c r="J208" s="23">
        <v>0</v>
      </c>
      <c r="K208" s="23" t="s">
        <v>504</v>
      </c>
      <c r="L208" s="23" t="s">
        <v>492</v>
      </c>
      <c r="M208" s="23"/>
      <c r="N208" s="23"/>
      <c r="O208" s="23"/>
      <c r="P208" s="23"/>
      <c r="Q208" s="23"/>
      <c r="R208" s="23"/>
      <c r="S208" s="23" t="s">
        <v>64</v>
      </c>
      <c r="T208" s="23"/>
      <c r="U208" s="23" t="s">
        <v>17</v>
      </c>
      <c r="V208" s="23"/>
      <c r="W208" s="33">
        <v>2.7</v>
      </c>
      <c r="Y208" t="s">
        <v>124</v>
      </c>
      <c r="Z208" t="s">
        <v>53</v>
      </c>
      <c r="AA208" t="s">
        <v>51</v>
      </c>
      <c r="AB208" t="s">
        <v>439</v>
      </c>
      <c r="AC208" t="s">
        <v>1420</v>
      </c>
      <c r="AF208" t="s">
        <v>1437</v>
      </c>
      <c r="AG208" t="s">
        <v>58</v>
      </c>
      <c r="BX208" t="s">
        <v>504</v>
      </c>
    </row>
    <row r="209" spans="1:104" hidden="1">
      <c r="A209" s="29" t="s">
        <v>511</v>
      </c>
      <c r="B209" s="29" t="s">
        <v>74</v>
      </c>
      <c r="C209" s="30">
        <v>4</v>
      </c>
      <c r="D209" s="30" t="s">
        <v>512</v>
      </c>
      <c r="E209" s="30">
        <v>1</v>
      </c>
      <c r="F209" s="30"/>
      <c r="G209" s="30" t="s">
        <v>52</v>
      </c>
      <c r="H209" s="30"/>
      <c r="I209" s="30"/>
      <c r="J209" s="30"/>
      <c r="K209" s="30" t="s">
        <v>513</v>
      </c>
      <c r="L209" s="30" t="s">
        <v>512</v>
      </c>
      <c r="M209" s="30">
        <v>2</v>
      </c>
      <c r="N209" s="30"/>
      <c r="O209" s="23"/>
      <c r="P209" s="23"/>
      <c r="Q209" s="23"/>
      <c r="R209" s="23"/>
      <c r="S209" s="23" t="s">
        <v>64</v>
      </c>
      <c r="T209" s="23"/>
      <c r="U209" s="23" t="s">
        <v>54</v>
      </c>
      <c r="V209" s="23"/>
      <c r="W209" s="31">
        <v>72.688000000000002</v>
      </c>
      <c r="Y209" t="s">
        <v>40</v>
      </c>
      <c r="Z209" t="s">
        <v>53</v>
      </c>
      <c r="AA209" t="s">
        <v>51</v>
      </c>
      <c r="AB209" t="s">
        <v>439</v>
      </c>
      <c r="AF209" t="s">
        <v>1437</v>
      </c>
      <c r="AG209" t="s">
        <v>58</v>
      </c>
      <c r="BX209" t="s">
        <v>513</v>
      </c>
    </row>
    <row r="210" spans="1:104" hidden="1">
      <c r="A210" s="29" t="s">
        <v>514</v>
      </c>
      <c r="B210" s="29" t="s">
        <v>79</v>
      </c>
      <c r="C210" s="30">
        <v>1</v>
      </c>
      <c r="D210" s="30" t="s">
        <v>515</v>
      </c>
      <c r="E210" s="30">
        <v>1</v>
      </c>
      <c r="F210" s="30"/>
      <c r="G210" s="30" t="s">
        <v>52</v>
      </c>
      <c r="H210" s="30"/>
      <c r="I210" s="30"/>
      <c r="J210" s="30"/>
      <c r="K210" s="30" t="s">
        <v>516</v>
      </c>
      <c r="L210" s="30" t="s">
        <v>515</v>
      </c>
      <c r="M210" s="30">
        <v>2</v>
      </c>
      <c r="N210" s="30"/>
      <c r="O210" s="23"/>
      <c r="P210" s="23"/>
      <c r="Q210" s="23"/>
      <c r="R210" s="23"/>
      <c r="S210" s="23" t="s">
        <v>64</v>
      </c>
      <c r="T210" s="23"/>
      <c r="U210" s="23" t="s">
        <v>54</v>
      </c>
      <c r="V210" s="23"/>
      <c r="W210" s="31">
        <v>31.314</v>
      </c>
      <c r="Y210" t="s">
        <v>40</v>
      </c>
      <c r="Z210" t="s">
        <v>53</v>
      </c>
      <c r="AA210" t="s">
        <v>51</v>
      </c>
      <c r="AB210" t="s">
        <v>439</v>
      </c>
      <c r="AF210" t="s">
        <v>1437</v>
      </c>
      <c r="AG210" t="s">
        <v>58</v>
      </c>
      <c r="BX210" t="s">
        <v>516</v>
      </c>
    </row>
    <row r="211" spans="1:104">
      <c r="A211" s="32" t="s">
        <v>517</v>
      </c>
      <c r="B211" s="32" t="s">
        <v>83</v>
      </c>
      <c r="C211" s="23">
        <v>1</v>
      </c>
      <c r="D211" s="23">
        <v>3740200</v>
      </c>
      <c r="E211" s="23">
        <v>1</v>
      </c>
      <c r="F211" s="23">
        <v>0.746</v>
      </c>
      <c r="G211" s="23" t="s">
        <v>89</v>
      </c>
      <c r="H211" s="23" t="s">
        <v>518</v>
      </c>
      <c r="I211" s="23" t="s">
        <v>85</v>
      </c>
      <c r="J211" s="23">
        <v>455</v>
      </c>
      <c r="K211" s="23" t="s">
        <v>92</v>
      </c>
      <c r="L211" s="23" t="s">
        <v>515</v>
      </c>
      <c r="M211" s="23"/>
      <c r="N211" s="23"/>
      <c r="O211" s="23"/>
      <c r="P211" s="23"/>
      <c r="Q211" s="23"/>
      <c r="R211" s="23"/>
      <c r="S211" s="23" t="s">
        <v>64</v>
      </c>
      <c r="T211" s="23"/>
      <c r="U211" s="23" t="s">
        <v>87</v>
      </c>
      <c r="V211" s="23"/>
      <c r="W211" s="33">
        <v>0</v>
      </c>
      <c r="Y211" t="s">
        <v>161</v>
      </c>
      <c r="Z211" t="s">
        <v>53</v>
      </c>
      <c r="AA211" t="s">
        <v>51</v>
      </c>
      <c r="AB211" t="s">
        <v>439</v>
      </c>
      <c r="AF211" t="s">
        <v>1437</v>
      </c>
      <c r="AG211" t="s">
        <v>58</v>
      </c>
      <c r="AI211" t="str">
        <f>BY211&amp;"_"&amp;CB211&amp;"_"&amp;L211&amp;"_p"&amp;C211&amp;"_"&amp;E211&amp;"st_"&amp;AK211&amp;"_"&amp;RIGHT(AG211,4)&amp;"_"&amp;AL211</f>
        <v>4_S235_SL40044103_p1_1st_GS_2050_P</v>
      </c>
      <c r="AJ211" t="s">
        <v>1430</v>
      </c>
      <c r="AK211" t="str">
        <f>CT211</f>
        <v>GS</v>
      </c>
      <c r="AL211" t="str">
        <f>CU211</f>
        <v>P</v>
      </c>
      <c r="AM211" t="s">
        <v>1674</v>
      </c>
      <c r="AZ211" s="64" t="s">
        <v>1523</v>
      </c>
      <c r="BA211" s="64" t="s">
        <v>1524</v>
      </c>
      <c r="BX211" t="s">
        <v>1691</v>
      </c>
      <c r="BY211">
        <v>4</v>
      </c>
      <c r="BZ211" t="s">
        <v>1692</v>
      </c>
      <c r="CA211" t="s">
        <v>1693</v>
      </c>
      <c r="CB211" t="s">
        <v>1895</v>
      </c>
      <c r="CG211">
        <v>4</v>
      </c>
      <c r="CH211" t="s">
        <v>1895</v>
      </c>
      <c r="CI211" t="s">
        <v>515</v>
      </c>
      <c r="CJ211" t="s">
        <v>1898</v>
      </c>
      <c r="CK211" t="s">
        <v>1902</v>
      </c>
      <c r="CL211" t="s">
        <v>1903</v>
      </c>
      <c r="CM211">
        <v>3656</v>
      </c>
      <c r="CR211" t="s">
        <v>1984</v>
      </c>
      <c r="CS211" t="s">
        <v>1430</v>
      </c>
      <c r="CT211" t="s">
        <v>1903</v>
      </c>
      <c r="CU211" t="s">
        <v>1910</v>
      </c>
      <c r="CW211" t="b">
        <f>AI211=CR211</f>
        <v>1</v>
      </c>
      <c r="CX211" t="b">
        <f t="shared" ref="CX211" si="17">AJ211=CS211</f>
        <v>1</v>
      </c>
      <c r="CY211" t="b">
        <f t="shared" ref="CY211" si="18">AK211=CT211</f>
        <v>1</v>
      </c>
      <c r="CZ211" t="b">
        <f t="shared" ref="CZ211" si="19">AL211=CU211</f>
        <v>1</v>
      </c>
    </row>
    <row r="212" spans="1:104" hidden="1">
      <c r="A212" s="29" t="s">
        <v>519</v>
      </c>
      <c r="B212" s="29" t="s">
        <v>83</v>
      </c>
      <c r="C212" s="30">
        <v>3</v>
      </c>
      <c r="D212" s="30" t="s">
        <v>520</v>
      </c>
      <c r="E212" s="30">
        <v>1</v>
      </c>
      <c r="F212" s="30"/>
      <c r="G212" s="30" t="s">
        <v>52</v>
      </c>
      <c r="H212" s="30"/>
      <c r="I212" s="30"/>
      <c r="J212" s="30"/>
      <c r="K212" s="30" t="s">
        <v>521</v>
      </c>
      <c r="L212" s="30" t="s">
        <v>520</v>
      </c>
      <c r="M212" s="30">
        <v>4</v>
      </c>
      <c r="N212" s="30"/>
      <c r="O212" s="23"/>
      <c r="P212" s="23"/>
      <c r="Q212" s="23"/>
      <c r="R212" s="23"/>
      <c r="S212" s="23" t="s">
        <v>64</v>
      </c>
      <c r="T212" s="23"/>
      <c r="U212" s="23" t="s">
        <v>54</v>
      </c>
      <c r="V212" s="23"/>
      <c r="W212" s="31">
        <v>2.4489999999999998</v>
      </c>
      <c r="Y212" t="s">
        <v>40</v>
      </c>
      <c r="Z212" t="s">
        <v>53</v>
      </c>
      <c r="AA212" t="s">
        <v>51</v>
      </c>
      <c r="AB212" t="s">
        <v>439</v>
      </c>
      <c r="AF212" t="s">
        <v>1437</v>
      </c>
      <c r="AG212" t="s">
        <v>58</v>
      </c>
      <c r="BX212" t="s">
        <v>521</v>
      </c>
    </row>
    <row r="213" spans="1:104" s="79" customFormat="1">
      <c r="A213" s="80" t="s">
        <v>522</v>
      </c>
      <c r="B213" s="80" t="s">
        <v>220</v>
      </c>
      <c r="C213" s="81">
        <v>1</v>
      </c>
      <c r="D213" s="81">
        <v>2500</v>
      </c>
      <c r="E213" s="81">
        <v>1</v>
      </c>
      <c r="F213" s="81">
        <v>3.2000000000000001E-2</v>
      </c>
      <c r="G213" s="81" t="s">
        <v>89</v>
      </c>
      <c r="H213" s="81">
        <v>111</v>
      </c>
      <c r="I213" s="81" t="s">
        <v>85</v>
      </c>
      <c r="J213" s="81">
        <v>292</v>
      </c>
      <c r="K213" s="81" t="s">
        <v>497</v>
      </c>
      <c r="L213" s="81" t="s">
        <v>520</v>
      </c>
      <c r="M213" s="81"/>
      <c r="N213" s="81"/>
      <c r="O213" s="23"/>
      <c r="P213" s="23"/>
      <c r="Q213" s="23"/>
      <c r="R213" s="23"/>
      <c r="S213" s="23" t="s">
        <v>64</v>
      </c>
      <c r="T213" s="23"/>
      <c r="U213" s="23" t="s">
        <v>87</v>
      </c>
      <c r="V213" s="23"/>
      <c r="W213" s="82">
        <v>0</v>
      </c>
      <c r="Y213" s="79" t="s">
        <v>161</v>
      </c>
      <c r="Z213" s="79" t="s">
        <v>53</v>
      </c>
      <c r="AA213" s="79" t="s">
        <v>51</v>
      </c>
      <c r="AB213" s="79" t="s">
        <v>439</v>
      </c>
      <c r="AF213" s="79" t="s">
        <v>1437</v>
      </c>
      <c r="AG213" s="79" t="s">
        <v>58</v>
      </c>
      <c r="AI213" s="79" t="str">
        <f>BY213&amp;"_"&amp;CB213&amp;"_"&amp;L213&amp;"_p"&amp;C213&amp;"_"&amp;E213&amp;"st_"&amp;AK213&amp;"_"&amp;RIGHT(AG213,4)&amp;"_"&amp;AL213</f>
        <v>15_S235_SL40044906_p1_1st_S_2050_</v>
      </c>
      <c r="AK213" s="79" t="s">
        <v>19</v>
      </c>
      <c r="AM213" s="79" t="s">
        <v>1675</v>
      </c>
      <c r="AO213"/>
      <c r="AP213"/>
      <c r="AQ213"/>
      <c r="AR213"/>
      <c r="AS213"/>
      <c r="AT213"/>
      <c r="AU213"/>
      <c r="AV213"/>
      <c r="AW213"/>
      <c r="AX213"/>
      <c r="AY213"/>
      <c r="AZ213" s="83" t="s">
        <v>1525</v>
      </c>
      <c r="BA213" s="83" t="s">
        <v>1526</v>
      </c>
      <c r="BX213" s="79" t="s">
        <v>1691</v>
      </c>
      <c r="BY213" s="79">
        <v>15</v>
      </c>
      <c r="BZ213" s="79" t="s">
        <v>1692</v>
      </c>
      <c r="CA213" s="79" t="s">
        <v>1736</v>
      </c>
      <c r="CB213" s="79" t="s">
        <v>1895</v>
      </c>
      <c r="CG213" s="79">
        <v>15</v>
      </c>
      <c r="CH213" s="79" t="s">
        <v>1895</v>
      </c>
      <c r="CI213" s="79" t="s">
        <v>520</v>
      </c>
      <c r="CJ213" s="79" t="s">
        <v>1898</v>
      </c>
      <c r="CK213" s="79" t="s">
        <v>1902</v>
      </c>
      <c r="CL213" s="79" t="s">
        <v>19</v>
      </c>
      <c r="CM213" s="79">
        <v>3902</v>
      </c>
      <c r="CN213" s="79">
        <v>7</v>
      </c>
      <c r="CR213" s="79" t="s">
        <v>1985</v>
      </c>
      <c r="CT213" s="79" t="s">
        <v>19</v>
      </c>
    </row>
    <row r="214" spans="1:104" hidden="1">
      <c r="A214" s="29" t="s">
        <v>523</v>
      </c>
      <c r="B214" s="29" t="s">
        <v>83</v>
      </c>
      <c r="C214" s="30">
        <v>4</v>
      </c>
      <c r="D214" s="30" t="s">
        <v>524</v>
      </c>
      <c r="E214" s="30">
        <v>1</v>
      </c>
      <c r="F214" s="30"/>
      <c r="G214" s="30" t="s">
        <v>52</v>
      </c>
      <c r="H214" s="30"/>
      <c r="I214" s="30"/>
      <c r="J214" s="30"/>
      <c r="K214" s="30" t="s">
        <v>525</v>
      </c>
      <c r="L214" s="30" t="s">
        <v>524</v>
      </c>
      <c r="M214" s="30">
        <v>4</v>
      </c>
      <c r="N214" s="30"/>
      <c r="O214" s="23"/>
      <c r="P214" s="23"/>
      <c r="Q214" s="23"/>
      <c r="R214" s="23"/>
      <c r="S214" s="23" t="s">
        <v>64</v>
      </c>
      <c r="T214" s="23"/>
      <c r="U214" s="23" t="s">
        <v>54</v>
      </c>
      <c r="V214" s="23"/>
      <c r="W214" s="31">
        <v>1.6970000000000001</v>
      </c>
      <c r="Y214" t="s">
        <v>40</v>
      </c>
      <c r="Z214" t="s">
        <v>53</v>
      </c>
      <c r="AA214" t="s">
        <v>51</v>
      </c>
      <c r="AB214" t="s">
        <v>439</v>
      </c>
      <c r="AF214" t="s">
        <v>1437</v>
      </c>
      <c r="AG214" t="s">
        <v>58</v>
      </c>
      <c r="BX214" t="s">
        <v>525</v>
      </c>
    </row>
    <row r="215" spans="1:104" s="79" customFormat="1">
      <c r="A215" s="80" t="s">
        <v>526</v>
      </c>
      <c r="B215" s="80" t="s">
        <v>220</v>
      </c>
      <c r="C215" s="81">
        <v>1</v>
      </c>
      <c r="D215" s="81">
        <v>2500</v>
      </c>
      <c r="E215" s="81">
        <v>1</v>
      </c>
      <c r="F215" s="81">
        <v>2.3E-2</v>
      </c>
      <c r="G215" s="81" t="s">
        <v>89</v>
      </c>
      <c r="H215" s="81">
        <v>76</v>
      </c>
      <c r="I215" s="81" t="s">
        <v>85</v>
      </c>
      <c r="J215" s="81">
        <v>300</v>
      </c>
      <c r="K215" s="81" t="s">
        <v>497</v>
      </c>
      <c r="L215" s="81" t="s">
        <v>524</v>
      </c>
      <c r="M215" s="81"/>
      <c r="N215" s="81"/>
      <c r="O215" s="23"/>
      <c r="P215" s="23"/>
      <c r="Q215" s="23"/>
      <c r="R215" s="23"/>
      <c r="S215" s="23" t="s">
        <v>64</v>
      </c>
      <c r="T215" s="23"/>
      <c r="U215" s="23" t="s">
        <v>87</v>
      </c>
      <c r="V215" s="23"/>
      <c r="W215" s="82">
        <v>0</v>
      </c>
      <c r="Y215" s="79" t="s">
        <v>161</v>
      </c>
      <c r="Z215" s="79" t="s">
        <v>53</v>
      </c>
      <c r="AA215" s="79" t="s">
        <v>51</v>
      </c>
      <c r="AB215" s="79" t="s">
        <v>439</v>
      </c>
      <c r="AF215" s="79" t="s">
        <v>1437</v>
      </c>
      <c r="AG215" s="79" t="s">
        <v>58</v>
      </c>
      <c r="AI215" s="79" t="str">
        <f>BY215&amp;"_"&amp;CB215&amp;"_"&amp;L215&amp;"_p"&amp;C215&amp;"_"&amp;E215&amp;"st_"&amp;AK215&amp;"_"&amp;RIGHT(AG215,4)&amp;"_"&amp;AL215</f>
        <v>15_S235_SL40044904_p1_1st_S_2050_</v>
      </c>
      <c r="AK215" s="79" t="s">
        <v>19</v>
      </c>
      <c r="AM215" s="79" t="s">
        <v>1675</v>
      </c>
      <c r="AO215"/>
      <c r="AP215"/>
      <c r="AQ215"/>
      <c r="AR215"/>
      <c r="AS215"/>
      <c r="AT215"/>
      <c r="AU215"/>
      <c r="AV215"/>
      <c r="AW215"/>
      <c r="AX215"/>
      <c r="AY215"/>
      <c r="AZ215" s="83" t="s">
        <v>1527</v>
      </c>
      <c r="BA215" s="83" t="s">
        <v>1528</v>
      </c>
      <c r="BX215" s="79" t="s">
        <v>1691</v>
      </c>
      <c r="BY215" s="79">
        <v>15</v>
      </c>
      <c r="BZ215" s="79" t="s">
        <v>1692</v>
      </c>
      <c r="CA215" s="79" t="s">
        <v>1736</v>
      </c>
      <c r="CB215" s="79" t="s">
        <v>1895</v>
      </c>
      <c r="CG215" s="79">
        <v>15</v>
      </c>
      <c r="CH215" s="79" t="s">
        <v>1895</v>
      </c>
      <c r="CI215" s="79" t="s">
        <v>524</v>
      </c>
      <c r="CJ215" s="79" t="s">
        <v>1898</v>
      </c>
      <c r="CK215" s="79" t="s">
        <v>1902</v>
      </c>
      <c r="CL215" s="79" t="s">
        <v>19</v>
      </c>
      <c r="CM215" s="79">
        <v>3902</v>
      </c>
      <c r="CN215" s="79">
        <v>6</v>
      </c>
      <c r="CR215" s="79" t="s">
        <v>1986</v>
      </c>
      <c r="CT215" s="79" t="s">
        <v>19</v>
      </c>
    </row>
    <row r="216" spans="1:104" hidden="1">
      <c r="A216" s="29" t="s">
        <v>527</v>
      </c>
      <c r="B216" s="29" t="s">
        <v>83</v>
      </c>
      <c r="C216" s="30">
        <v>5</v>
      </c>
      <c r="D216" s="30" t="s">
        <v>528</v>
      </c>
      <c r="E216" s="30">
        <v>1</v>
      </c>
      <c r="F216" s="30"/>
      <c r="G216" s="30" t="s">
        <v>52</v>
      </c>
      <c r="H216" s="30" t="s">
        <v>529</v>
      </c>
      <c r="I216" s="30"/>
      <c r="J216" s="30"/>
      <c r="K216" s="30" t="s">
        <v>530</v>
      </c>
      <c r="L216" s="30" t="s">
        <v>528</v>
      </c>
      <c r="M216" s="30">
        <v>4</v>
      </c>
      <c r="N216" s="30"/>
      <c r="O216" s="23"/>
      <c r="P216" s="23"/>
      <c r="Q216" s="23"/>
      <c r="R216" s="23"/>
      <c r="S216" s="23" t="s">
        <v>64</v>
      </c>
      <c r="T216" s="23"/>
      <c r="U216" s="23" t="s">
        <v>54</v>
      </c>
      <c r="V216" s="23"/>
      <c r="W216" s="31">
        <v>3.2</v>
      </c>
      <c r="Y216" t="s">
        <v>40</v>
      </c>
      <c r="Z216" t="s">
        <v>53</v>
      </c>
      <c r="AA216" t="s">
        <v>51</v>
      </c>
      <c r="AB216" t="s">
        <v>439</v>
      </c>
      <c r="AF216" t="s">
        <v>1437</v>
      </c>
      <c r="AG216" t="s">
        <v>58</v>
      </c>
      <c r="BX216" t="s">
        <v>530</v>
      </c>
    </row>
    <row r="217" spans="1:104" s="79" customFormat="1">
      <c r="A217" s="80" t="s">
        <v>531</v>
      </c>
      <c r="B217" s="80" t="s">
        <v>220</v>
      </c>
      <c r="C217" s="81">
        <v>1</v>
      </c>
      <c r="D217" s="81">
        <v>2900</v>
      </c>
      <c r="E217" s="81">
        <v>1</v>
      </c>
      <c r="F217" s="81"/>
      <c r="G217" s="81" t="s">
        <v>89</v>
      </c>
      <c r="H217" s="81">
        <v>292</v>
      </c>
      <c r="I217" s="81" t="s">
        <v>85</v>
      </c>
      <c r="J217" s="81">
        <v>76</v>
      </c>
      <c r="K217" s="81" t="s">
        <v>532</v>
      </c>
      <c r="L217" s="81" t="s">
        <v>528</v>
      </c>
      <c r="M217" s="81"/>
      <c r="N217" s="81"/>
      <c r="O217" s="23"/>
      <c r="P217" s="23"/>
      <c r="Q217" s="23"/>
      <c r="R217" s="23"/>
      <c r="S217" s="23" t="s">
        <v>64</v>
      </c>
      <c r="T217" s="23"/>
      <c r="U217" s="23" t="s">
        <v>87</v>
      </c>
      <c r="V217" s="23"/>
      <c r="W217" s="82">
        <v>0</v>
      </c>
      <c r="Y217" s="79" t="s">
        <v>161</v>
      </c>
      <c r="Z217" s="79" t="s">
        <v>53</v>
      </c>
      <c r="AA217" s="79" t="s">
        <v>51</v>
      </c>
      <c r="AB217" s="79" t="s">
        <v>439</v>
      </c>
      <c r="AF217" s="79" t="s">
        <v>1437</v>
      </c>
      <c r="AG217" s="79" t="s">
        <v>58</v>
      </c>
      <c r="AI217" s="79" t="str">
        <f>BY217&amp;"_"&amp;CB217&amp;"_"&amp;L217&amp;"_p"&amp;C217&amp;"_"&amp;E217&amp;"st_"&amp;AK217&amp;"_"&amp;RIGHT(AG217,4)&amp;"_"&amp;AL217</f>
        <v>20_S235_SL40071932_p1_1st_S_2050_</v>
      </c>
      <c r="AK217" s="79" t="s">
        <v>19</v>
      </c>
      <c r="AM217" s="79" t="s">
        <v>1675</v>
      </c>
      <c r="AO217"/>
      <c r="AP217"/>
      <c r="AQ217"/>
      <c r="AR217"/>
      <c r="AS217"/>
      <c r="AT217"/>
      <c r="AU217"/>
      <c r="AV217"/>
      <c r="AW217"/>
      <c r="AX217"/>
      <c r="AY217"/>
      <c r="AZ217" s="83" t="s">
        <v>1529</v>
      </c>
      <c r="BA217" s="83" t="s">
        <v>1530</v>
      </c>
      <c r="BX217" s="79" t="s">
        <v>1691</v>
      </c>
      <c r="BY217" s="79">
        <v>20</v>
      </c>
      <c r="BZ217" s="79" t="s">
        <v>1692</v>
      </c>
      <c r="CA217" s="79" t="s">
        <v>1736</v>
      </c>
      <c r="CB217" s="79" t="s">
        <v>1895</v>
      </c>
      <c r="CG217" s="79">
        <v>20</v>
      </c>
      <c r="CH217" s="79" t="s">
        <v>1895</v>
      </c>
      <c r="CI217" s="79" t="s">
        <v>528</v>
      </c>
      <c r="CJ217" s="79" t="s">
        <v>1898</v>
      </c>
      <c r="CK217" s="79" t="s">
        <v>1920</v>
      </c>
      <c r="CL217" s="79" t="s">
        <v>19</v>
      </c>
      <c r="CM217" s="79">
        <v>3902</v>
      </c>
      <c r="CR217" s="79" t="s">
        <v>1987</v>
      </c>
      <c r="CT217" s="79" t="s">
        <v>19</v>
      </c>
    </row>
    <row r="218" spans="1:104" hidden="1">
      <c r="A218" s="29" t="s">
        <v>533</v>
      </c>
      <c r="B218" s="29" t="s">
        <v>83</v>
      </c>
      <c r="C218" s="30">
        <v>6</v>
      </c>
      <c r="D218" s="30" t="s">
        <v>534</v>
      </c>
      <c r="E218" s="30">
        <v>1</v>
      </c>
      <c r="F218" s="30"/>
      <c r="G218" s="30" t="s">
        <v>52</v>
      </c>
      <c r="H218" s="30"/>
      <c r="I218" s="30"/>
      <c r="J218" s="30"/>
      <c r="K218" s="30" t="s">
        <v>535</v>
      </c>
      <c r="L218" s="30" t="s">
        <v>534</v>
      </c>
      <c r="M218" s="30">
        <v>4</v>
      </c>
      <c r="N218" s="30"/>
      <c r="O218" s="23"/>
      <c r="P218" s="23"/>
      <c r="Q218" s="23"/>
      <c r="R218" s="23"/>
      <c r="S218" s="23" t="s">
        <v>64</v>
      </c>
      <c r="T218" s="23"/>
      <c r="U218" s="23" t="s">
        <v>54</v>
      </c>
      <c r="V218" s="23"/>
      <c r="W218" s="31">
        <v>0.73899999999999999</v>
      </c>
      <c r="Y218" t="s">
        <v>40</v>
      </c>
      <c r="Z218" t="s">
        <v>53</v>
      </c>
      <c r="AA218" t="s">
        <v>51</v>
      </c>
      <c r="AB218" t="s">
        <v>439</v>
      </c>
      <c r="AF218" t="s">
        <v>1437</v>
      </c>
      <c r="AG218" t="s">
        <v>58</v>
      </c>
      <c r="BX218" t="s">
        <v>535</v>
      </c>
    </row>
    <row r="219" spans="1:104" hidden="1">
      <c r="A219" s="32" t="s">
        <v>536</v>
      </c>
      <c r="B219" s="32" t="s">
        <v>220</v>
      </c>
      <c r="C219" s="23">
        <v>1</v>
      </c>
      <c r="D219" s="23">
        <v>855200</v>
      </c>
      <c r="E219" s="23">
        <v>1</v>
      </c>
      <c r="F219" s="23">
        <v>68</v>
      </c>
      <c r="G219" s="23" t="s">
        <v>85</v>
      </c>
      <c r="H219" s="23">
        <v>68</v>
      </c>
      <c r="I219" s="23" t="s">
        <v>85</v>
      </c>
      <c r="J219" s="23">
        <v>0</v>
      </c>
      <c r="K219" s="23" t="s">
        <v>537</v>
      </c>
      <c r="L219" s="23" t="s">
        <v>534</v>
      </c>
      <c r="M219" s="23"/>
      <c r="N219" s="23"/>
      <c r="O219" s="23"/>
      <c r="P219" s="23"/>
      <c r="Q219" s="23"/>
      <c r="R219" s="23"/>
      <c r="S219" s="23" t="s">
        <v>64</v>
      </c>
      <c r="T219" s="23"/>
      <c r="U219" s="23" t="s">
        <v>87</v>
      </c>
      <c r="V219" s="23"/>
      <c r="W219" s="33">
        <v>0</v>
      </c>
      <c r="Y219" t="s">
        <v>365</v>
      </c>
      <c r="Z219" t="s">
        <v>53</v>
      </c>
      <c r="AA219" t="s">
        <v>51</v>
      </c>
      <c r="AB219" t="s">
        <v>439</v>
      </c>
      <c r="AD219" t="s">
        <v>1432</v>
      </c>
      <c r="AF219" t="s">
        <v>1437</v>
      </c>
      <c r="AG219" t="s">
        <v>58</v>
      </c>
      <c r="BX219" t="s">
        <v>1788</v>
      </c>
      <c r="BY219">
        <v>40</v>
      </c>
      <c r="BZ219" t="s">
        <v>1789</v>
      </c>
      <c r="CA219" t="s">
        <v>1736</v>
      </c>
      <c r="CB219" t="s">
        <v>1737</v>
      </c>
    </row>
    <row r="220" spans="1:104" hidden="1">
      <c r="A220" s="32" t="s">
        <v>538</v>
      </c>
      <c r="B220" s="32" t="s">
        <v>83</v>
      </c>
      <c r="C220" s="23">
        <v>101</v>
      </c>
      <c r="D220" s="23">
        <v>404300</v>
      </c>
      <c r="E220" s="23">
        <v>6</v>
      </c>
      <c r="F220" s="23"/>
      <c r="G220" s="23" t="s">
        <v>52</v>
      </c>
      <c r="H220" s="23" t="s">
        <v>275</v>
      </c>
      <c r="I220" s="23"/>
      <c r="J220" s="23"/>
      <c r="K220" s="23" t="s">
        <v>367</v>
      </c>
      <c r="L220" s="23" t="s">
        <v>534</v>
      </c>
      <c r="M220" s="23"/>
      <c r="N220" s="23"/>
      <c r="O220" s="23"/>
      <c r="P220" s="23"/>
      <c r="Q220" s="23"/>
      <c r="R220" s="23"/>
      <c r="S220" s="23" t="s">
        <v>64</v>
      </c>
      <c r="T220" s="23"/>
      <c r="U220" s="23" t="s">
        <v>17</v>
      </c>
      <c r="V220" s="23"/>
      <c r="W220" s="33">
        <v>1.2999999999999999E-2</v>
      </c>
      <c r="Y220" t="s">
        <v>124</v>
      </c>
      <c r="Z220" t="s">
        <v>53</v>
      </c>
      <c r="AA220" t="s">
        <v>51</v>
      </c>
      <c r="AB220" t="s">
        <v>439</v>
      </c>
      <c r="AF220" t="s">
        <v>1437</v>
      </c>
      <c r="AG220" t="s">
        <v>58</v>
      </c>
      <c r="BX220" t="s">
        <v>1717</v>
      </c>
      <c r="BY220" t="s">
        <v>1758</v>
      </c>
      <c r="BZ220" t="s">
        <v>1759</v>
      </c>
      <c r="CA220" t="s">
        <v>1760</v>
      </c>
      <c r="CB220" t="s">
        <v>1761</v>
      </c>
    </row>
    <row r="221" spans="1:104" hidden="1">
      <c r="A221" s="29" t="s">
        <v>539</v>
      </c>
      <c r="B221" s="29" t="s">
        <v>79</v>
      </c>
      <c r="C221" s="30">
        <v>2</v>
      </c>
      <c r="D221" s="30" t="s">
        <v>540</v>
      </c>
      <c r="E221" s="30">
        <v>1</v>
      </c>
      <c r="F221" s="30"/>
      <c r="G221" s="30" t="s">
        <v>52</v>
      </c>
      <c r="H221" s="30"/>
      <c r="I221" s="30"/>
      <c r="J221" s="30"/>
      <c r="K221" s="30" t="s">
        <v>516</v>
      </c>
      <c r="L221" s="30" t="s">
        <v>515</v>
      </c>
      <c r="M221" s="30">
        <v>2</v>
      </c>
      <c r="N221" s="30"/>
      <c r="O221" s="23"/>
      <c r="P221" s="23"/>
      <c r="Q221" s="23"/>
      <c r="R221" s="23"/>
      <c r="S221" s="23" t="s">
        <v>64</v>
      </c>
      <c r="T221" s="23"/>
      <c r="U221" s="23" t="s">
        <v>54</v>
      </c>
      <c r="V221" s="23"/>
      <c r="W221" s="31">
        <v>31.314</v>
      </c>
      <c r="Y221" t="s">
        <v>40</v>
      </c>
      <c r="Z221" t="s">
        <v>53</v>
      </c>
      <c r="AA221" t="s">
        <v>51</v>
      </c>
      <c r="AB221" t="s">
        <v>439</v>
      </c>
      <c r="AF221" t="s">
        <v>1437</v>
      </c>
      <c r="AG221" t="s">
        <v>58</v>
      </c>
      <c r="BX221" t="s">
        <v>516</v>
      </c>
    </row>
    <row r="222" spans="1:104">
      <c r="A222" s="32" t="s">
        <v>541</v>
      </c>
      <c r="B222" s="32" t="s">
        <v>83</v>
      </c>
      <c r="C222" s="23">
        <v>2</v>
      </c>
      <c r="D222" s="23">
        <v>3740200</v>
      </c>
      <c r="E222" s="23">
        <v>1</v>
      </c>
      <c r="F222" s="23">
        <v>0.746</v>
      </c>
      <c r="G222" s="23" t="s">
        <v>89</v>
      </c>
      <c r="H222" s="23" t="s">
        <v>518</v>
      </c>
      <c r="I222" s="23" t="s">
        <v>85</v>
      </c>
      <c r="J222" s="23">
        <v>455</v>
      </c>
      <c r="K222" s="23" t="s">
        <v>92</v>
      </c>
      <c r="L222" s="23" t="s">
        <v>515</v>
      </c>
      <c r="M222" s="23"/>
      <c r="N222" s="23"/>
      <c r="O222" s="23"/>
      <c r="P222" s="23"/>
      <c r="Q222" s="23"/>
      <c r="R222" s="23"/>
      <c r="S222" s="23" t="s">
        <v>64</v>
      </c>
      <c r="T222" s="23"/>
      <c r="U222" s="23" t="s">
        <v>87</v>
      </c>
      <c r="V222" s="23"/>
      <c r="W222" s="33">
        <v>0</v>
      </c>
      <c r="Y222" t="s">
        <v>161</v>
      </c>
      <c r="Z222" t="s">
        <v>53</v>
      </c>
      <c r="AA222" t="s">
        <v>51</v>
      </c>
      <c r="AB222" t="s">
        <v>439</v>
      </c>
      <c r="AF222" t="s">
        <v>1437</v>
      </c>
      <c r="AG222" t="s">
        <v>58</v>
      </c>
      <c r="AI222" t="str">
        <f>BY222&amp;"_"&amp;CB222&amp;"_"&amp;L222&amp;"_p"&amp;C222&amp;"_"&amp;E222&amp;"st_"&amp;AK222&amp;"_"&amp;RIGHT(AG222,4)&amp;"_"&amp;AL222</f>
        <v>4_S235_SL40044103_p2_1st_GS_2050_L</v>
      </c>
      <c r="AJ222" t="s">
        <v>1429</v>
      </c>
      <c r="AK222" t="str">
        <f>CT222</f>
        <v>GS</v>
      </c>
      <c r="AL222" t="str">
        <f>CU222</f>
        <v>L</v>
      </c>
      <c r="AM222" t="s">
        <v>1674</v>
      </c>
      <c r="AZ222" s="64" t="s">
        <v>1531</v>
      </c>
      <c r="BA222" s="64" t="s">
        <v>1532</v>
      </c>
      <c r="BX222" t="s">
        <v>1691</v>
      </c>
      <c r="BY222">
        <v>4</v>
      </c>
      <c r="BZ222" t="s">
        <v>1692</v>
      </c>
      <c r="CA222" t="s">
        <v>1693</v>
      </c>
      <c r="CB222" t="s">
        <v>1895</v>
      </c>
      <c r="CG222">
        <v>4</v>
      </c>
      <c r="CH222" t="s">
        <v>1895</v>
      </c>
      <c r="CI222" t="s">
        <v>515</v>
      </c>
      <c r="CJ222" t="s">
        <v>1901</v>
      </c>
      <c r="CK222" t="s">
        <v>1902</v>
      </c>
      <c r="CL222" t="s">
        <v>1903</v>
      </c>
      <c r="CM222">
        <v>3656</v>
      </c>
      <c r="CR222" t="s">
        <v>1988</v>
      </c>
      <c r="CS222" t="s">
        <v>1429</v>
      </c>
      <c r="CT222" t="s">
        <v>1903</v>
      </c>
      <c r="CU222" t="s">
        <v>54</v>
      </c>
      <c r="CW222" t="b">
        <f>AI222=CR222</f>
        <v>1</v>
      </c>
      <c r="CX222" t="b">
        <f t="shared" ref="CX222" si="20">AJ222=CS222</f>
        <v>1</v>
      </c>
      <c r="CY222" t="b">
        <f t="shared" ref="CY222" si="21">AK222=CT222</f>
        <v>1</v>
      </c>
      <c r="CZ222" t="b">
        <f t="shared" ref="CZ222" si="22">AL222=CU222</f>
        <v>1</v>
      </c>
    </row>
    <row r="223" spans="1:104" hidden="1">
      <c r="A223" s="29" t="s">
        <v>542</v>
      </c>
      <c r="B223" s="29" t="s">
        <v>83</v>
      </c>
      <c r="C223" s="30">
        <v>3</v>
      </c>
      <c r="D223" s="30" t="s">
        <v>520</v>
      </c>
      <c r="E223" s="30">
        <v>1</v>
      </c>
      <c r="F223" s="30"/>
      <c r="G223" s="30" t="s">
        <v>52</v>
      </c>
      <c r="H223" s="30"/>
      <c r="I223" s="30"/>
      <c r="J223" s="30"/>
      <c r="K223" s="30" t="s">
        <v>521</v>
      </c>
      <c r="L223" s="30" t="s">
        <v>520</v>
      </c>
      <c r="M223" s="30">
        <v>4</v>
      </c>
      <c r="N223" s="30"/>
      <c r="O223" s="23"/>
      <c r="P223" s="23"/>
      <c r="Q223" s="23"/>
      <c r="R223" s="23"/>
      <c r="S223" s="23" t="s">
        <v>64</v>
      </c>
      <c r="T223" s="23"/>
      <c r="U223" s="23" t="s">
        <v>54</v>
      </c>
      <c r="V223" s="23"/>
      <c r="W223" s="31">
        <v>2.4489999999999998</v>
      </c>
      <c r="Y223" t="s">
        <v>40</v>
      </c>
      <c r="Z223" t="s">
        <v>53</v>
      </c>
      <c r="AA223" t="s">
        <v>51</v>
      </c>
      <c r="AB223" t="s">
        <v>439</v>
      </c>
      <c r="AF223" t="s">
        <v>1437</v>
      </c>
      <c r="AG223" t="s">
        <v>58</v>
      </c>
      <c r="BX223" t="s">
        <v>521</v>
      </c>
    </row>
    <row r="224" spans="1:104" s="79" customFormat="1">
      <c r="A224" s="80" t="s">
        <v>543</v>
      </c>
      <c r="B224" s="80" t="s">
        <v>220</v>
      </c>
      <c r="C224" s="81">
        <v>1</v>
      </c>
      <c r="D224" s="81">
        <v>2500</v>
      </c>
      <c r="E224" s="81">
        <v>1</v>
      </c>
      <c r="F224" s="81">
        <v>3.2000000000000001E-2</v>
      </c>
      <c r="G224" s="81" t="s">
        <v>89</v>
      </c>
      <c r="H224" s="81">
        <v>111</v>
      </c>
      <c r="I224" s="81" t="s">
        <v>85</v>
      </c>
      <c r="J224" s="81">
        <v>292</v>
      </c>
      <c r="K224" s="81" t="s">
        <v>497</v>
      </c>
      <c r="L224" s="81" t="s">
        <v>520</v>
      </c>
      <c r="M224" s="81"/>
      <c r="N224" s="81"/>
      <c r="O224" s="23"/>
      <c r="P224" s="23"/>
      <c r="Q224" s="23"/>
      <c r="R224" s="23"/>
      <c r="S224" s="23" t="s">
        <v>64</v>
      </c>
      <c r="T224" s="23"/>
      <c r="U224" s="23" t="s">
        <v>87</v>
      </c>
      <c r="V224" s="23"/>
      <c r="W224" s="82">
        <v>0</v>
      </c>
      <c r="Y224" s="79" t="s">
        <v>161</v>
      </c>
      <c r="Z224" s="79" t="s">
        <v>53</v>
      </c>
      <c r="AA224" s="79" t="s">
        <v>51</v>
      </c>
      <c r="AB224" s="79" t="s">
        <v>439</v>
      </c>
      <c r="AF224" s="79" t="s">
        <v>1437</v>
      </c>
      <c r="AG224" s="79" t="s">
        <v>58</v>
      </c>
      <c r="AI224" s="79" t="str">
        <f>BY224&amp;"_"&amp;CB224&amp;"_"&amp;L224&amp;"_p"&amp;C224&amp;"_"&amp;E224&amp;"st_"&amp;AK224&amp;"_"&amp;RIGHT(AG224,4)&amp;"_"&amp;AL224</f>
        <v>15_S235_SL40044906_p1_1st_S_2050_1</v>
      </c>
      <c r="AK224" s="79" t="s">
        <v>19</v>
      </c>
      <c r="AL224" s="79">
        <v>1</v>
      </c>
      <c r="AM224" s="79" t="s">
        <v>1675</v>
      </c>
      <c r="AO224"/>
      <c r="AP224"/>
      <c r="AQ224"/>
      <c r="AR224"/>
      <c r="AS224"/>
      <c r="AT224"/>
      <c r="AU224"/>
      <c r="AV224"/>
      <c r="AW224"/>
      <c r="AX224"/>
      <c r="AY224"/>
      <c r="AZ224" s="83" t="s">
        <v>1525</v>
      </c>
      <c r="BA224" s="83" t="s">
        <v>1526</v>
      </c>
      <c r="BX224" s="79" t="s">
        <v>1691</v>
      </c>
      <c r="BY224" s="79">
        <v>15</v>
      </c>
      <c r="BZ224" s="79" t="s">
        <v>1692</v>
      </c>
      <c r="CA224" s="79" t="s">
        <v>1736</v>
      </c>
      <c r="CB224" s="79" t="s">
        <v>1895</v>
      </c>
      <c r="CG224" s="79">
        <v>15</v>
      </c>
      <c r="CH224" s="79" t="s">
        <v>1895</v>
      </c>
      <c r="CI224" s="79" t="s">
        <v>520</v>
      </c>
      <c r="CJ224" s="79" t="s">
        <v>1898</v>
      </c>
      <c r="CK224" s="79" t="s">
        <v>1902</v>
      </c>
      <c r="CL224" s="79" t="s">
        <v>19</v>
      </c>
      <c r="CM224" s="79">
        <v>3902</v>
      </c>
      <c r="CN224" s="79">
        <v>7</v>
      </c>
      <c r="CR224" s="79" t="s">
        <v>1985</v>
      </c>
      <c r="CT224" s="79" t="s">
        <v>19</v>
      </c>
    </row>
    <row r="225" spans="1:98" hidden="1">
      <c r="A225" s="29" t="s">
        <v>544</v>
      </c>
      <c r="B225" s="29" t="s">
        <v>83</v>
      </c>
      <c r="C225" s="30">
        <v>4</v>
      </c>
      <c r="D225" s="30" t="s">
        <v>524</v>
      </c>
      <c r="E225" s="30">
        <v>1</v>
      </c>
      <c r="F225" s="30"/>
      <c r="G225" s="30" t="s">
        <v>52</v>
      </c>
      <c r="H225" s="30"/>
      <c r="I225" s="30"/>
      <c r="J225" s="30"/>
      <c r="K225" s="30" t="s">
        <v>525</v>
      </c>
      <c r="L225" s="30" t="s">
        <v>524</v>
      </c>
      <c r="M225" s="30">
        <v>4</v>
      </c>
      <c r="N225" s="30"/>
      <c r="O225" s="23"/>
      <c r="P225" s="23"/>
      <c r="Q225" s="23"/>
      <c r="R225" s="23"/>
      <c r="S225" s="23" t="s">
        <v>64</v>
      </c>
      <c r="T225" s="23"/>
      <c r="U225" s="23" t="s">
        <v>54</v>
      </c>
      <c r="V225" s="23"/>
      <c r="W225" s="31">
        <v>1.6970000000000001</v>
      </c>
      <c r="Y225" t="s">
        <v>40</v>
      </c>
      <c r="Z225" t="s">
        <v>53</v>
      </c>
      <c r="AA225" t="s">
        <v>51</v>
      </c>
      <c r="AB225" t="s">
        <v>439</v>
      </c>
      <c r="AF225" t="s">
        <v>1437</v>
      </c>
      <c r="AG225" t="s">
        <v>58</v>
      </c>
      <c r="BX225" t="s">
        <v>525</v>
      </c>
    </row>
    <row r="226" spans="1:98" s="79" customFormat="1">
      <c r="A226" s="80" t="s">
        <v>545</v>
      </c>
      <c r="B226" s="80" t="s">
        <v>220</v>
      </c>
      <c r="C226" s="81">
        <v>1</v>
      </c>
      <c r="D226" s="81">
        <v>2500</v>
      </c>
      <c r="E226" s="81">
        <v>1</v>
      </c>
      <c r="F226" s="81">
        <v>2.3E-2</v>
      </c>
      <c r="G226" s="81" t="s">
        <v>89</v>
      </c>
      <c r="H226" s="81">
        <v>76</v>
      </c>
      <c r="I226" s="81" t="s">
        <v>85</v>
      </c>
      <c r="J226" s="81">
        <v>300</v>
      </c>
      <c r="K226" s="81" t="s">
        <v>497</v>
      </c>
      <c r="L226" s="81" t="s">
        <v>524</v>
      </c>
      <c r="M226" s="81"/>
      <c r="N226" s="81"/>
      <c r="O226" s="23"/>
      <c r="P226" s="23"/>
      <c r="Q226" s="23"/>
      <c r="R226" s="23"/>
      <c r="S226" s="23" t="s">
        <v>64</v>
      </c>
      <c r="T226" s="23"/>
      <c r="U226" s="23" t="s">
        <v>87</v>
      </c>
      <c r="V226" s="23"/>
      <c r="W226" s="82">
        <v>0</v>
      </c>
      <c r="Y226" s="79" t="s">
        <v>161</v>
      </c>
      <c r="Z226" s="79" t="s">
        <v>53</v>
      </c>
      <c r="AA226" s="79" t="s">
        <v>51</v>
      </c>
      <c r="AB226" s="79" t="s">
        <v>439</v>
      </c>
      <c r="AF226" s="79" t="s">
        <v>1437</v>
      </c>
      <c r="AG226" s="79" t="s">
        <v>58</v>
      </c>
      <c r="AI226" s="79" t="str">
        <f>BY226&amp;"_"&amp;CB226&amp;"_"&amp;L226&amp;"_p"&amp;C226&amp;"_"&amp;E226&amp;"st_"&amp;AK226&amp;"_"&amp;RIGHT(AG226,4)&amp;"_"&amp;AL226</f>
        <v>15_S235_SL40044904_p1_1st_S_2050_1</v>
      </c>
      <c r="AK226" s="79" t="s">
        <v>19</v>
      </c>
      <c r="AL226" s="79">
        <v>1</v>
      </c>
      <c r="AM226" s="79" t="s">
        <v>1675</v>
      </c>
      <c r="AO226"/>
      <c r="AP226"/>
      <c r="AQ226"/>
      <c r="AR226"/>
      <c r="AS226"/>
      <c r="AT226"/>
      <c r="AU226"/>
      <c r="AV226"/>
      <c r="AW226"/>
      <c r="AX226"/>
      <c r="AY226"/>
      <c r="AZ226" s="83" t="s">
        <v>1527</v>
      </c>
      <c r="BA226" s="83" t="s">
        <v>1528</v>
      </c>
      <c r="BX226" s="79" t="s">
        <v>1691</v>
      </c>
      <c r="BY226" s="79">
        <v>15</v>
      </c>
      <c r="BZ226" s="79" t="s">
        <v>1692</v>
      </c>
      <c r="CA226" s="79" t="s">
        <v>1736</v>
      </c>
      <c r="CB226" s="79" t="s">
        <v>1895</v>
      </c>
      <c r="CG226" s="79">
        <v>15</v>
      </c>
      <c r="CH226" s="79" t="s">
        <v>1895</v>
      </c>
      <c r="CI226" s="79" t="s">
        <v>524</v>
      </c>
      <c r="CJ226" s="79" t="s">
        <v>1898</v>
      </c>
      <c r="CK226" s="79" t="s">
        <v>1902</v>
      </c>
      <c r="CL226" s="79" t="s">
        <v>19</v>
      </c>
      <c r="CM226" s="79">
        <v>3902</v>
      </c>
      <c r="CN226" s="79">
        <v>6</v>
      </c>
      <c r="CR226" s="79" t="s">
        <v>1986</v>
      </c>
      <c r="CT226" s="79" t="s">
        <v>19</v>
      </c>
    </row>
    <row r="227" spans="1:98" hidden="1">
      <c r="A227" s="29" t="s">
        <v>546</v>
      </c>
      <c r="B227" s="29" t="s">
        <v>83</v>
      </c>
      <c r="C227" s="30">
        <v>5</v>
      </c>
      <c r="D227" s="30" t="s">
        <v>528</v>
      </c>
      <c r="E227" s="30">
        <v>1</v>
      </c>
      <c r="F227" s="30"/>
      <c r="G227" s="30" t="s">
        <v>52</v>
      </c>
      <c r="H227" s="30" t="s">
        <v>529</v>
      </c>
      <c r="I227" s="30"/>
      <c r="J227" s="30"/>
      <c r="K227" s="30" t="s">
        <v>530</v>
      </c>
      <c r="L227" s="30" t="s">
        <v>528</v>
      </c>
      <c r="M227" s="30">
        <v>4</v>
      </c>
      <c r="N227" s="30"/>
      <c r="O227" s="23"/>
      <c r="P227" s="23"/>
      <c r="Q227" s="23"/>
      <c r="R227" s="23"/>
      <c r="S227" s="23" t="s">
        <v>64</v>
      </c>
      <c r="T227" s="23"/>
      <c r="U227" s="23" t="s">
        <v>54</v>
      </c>
      <c r="V227" s="23"/>
      <c r="W227" s="31">
        <v>3.2</v>
      </c>
      <c r="Y227" t="s">
        <v>40</v>
      </c>
      <c r="Z227" t="s">
        <v>53</v>
      </c>
      <c r="AA227" t="s">
        <v>51</v>
      </c>
      <c r="AB227" t="s">
        <v>439</v>
      </c>
      <c r="AF227" t="s">
        <v>1437</v>
      </c>
      <c r="AG227" t="s">
        <v>58</v>
      </c>
      <c r="BX227" t="s">
        <v>530</v>
      </c>
    </row>
    <row r="228" spans="1:98" s="79" customFormat="1">
      <c r="A228" s="80" t="s">
        <v>547</v>
      </c>
      <c r="B228" s="80" t="s">
        <v>220</v>
      </c>
      <c r="C228" s="81">
        <v>1</v>
      </c>
      <c r="D228" s="81">
        <v>2900</v>
      </c>
      <c r="E228" s="81">
        <v>1</v>
      </c>
      <c r="F228" s="81"/>
      <c r="G228" s="81" t="s">
        <v>89</v>
      </c>
      <c r="H228" s="81">
        <v>292</v>
      </c>
      <c r="I228" s="81" t="s">
        <v>85</v>
      </c>
      <c r="J228" s="81">
        <v>76</v>
      </c>
      <c r="K228" s="81" t="s">
        <v>532</v>
      </c>
      <c r="L228" s="81" t="s">
        <v>528</v>
      </c>
      <c r="M228" s="81"/>
      <c r="N228" s="81"/>
      <c r="O228" s="23"/>
      <c r="P228" s="23"/>
      <c r="Q228" s="23"/>
      <c r="R228" s="23"/>
      <c r="S228" s="23" t="s">
        <v>64</v>
      </c>
      <c r="T228" s="23"/>
      <c r="U228" s="23" t="s">
        <v>87</v>
      </c>
      <c r="V228" s="23"/>
      <c r="W228" s="82">
        <v>0</v>
      </c>
      <c r="Y228" s="79" t="s">
        <v>161</v>
      </c>
      <c r="Z228" s="79" t="s">
        <v>53</v>
      </c>
      <c r="AA228" s="79" t="s">
        <v>51</v>
      </c>
      <c r="AB228" s="79" t="s">
        <v>439</v>
      </c>
      <c r="AF228" s="79" t="s">
        <v>1437</v>
      </c>
      <c r="AG228" s="79" t="s">
        <v>58</v>
      </c>
      <c r="AI228" s="79" t="str">
        <f>BY228&amp;"_"&amp;CB228&amp;"_"&amp;L228&amp;"_p"&amp;C228&amp;"_"&amp;E228&amp;"st_"&amp;AK228&amp;"_"&amp;RIGHT(AG228,4)&amp;"_"&amp;AL228</f>
        <v>20_S235_SL40071932_p1_1st_S_2050_1</v>
      </c>
      <c r="AK228" s="79" t="s">
        <v>19</v>
      </c>
      <c r="AL228" s="79">
        <v>1</v>
      </c>
      <c r="AM228" s="79" t="s">
        <v>1675</v>
      </c>
      <c r="AO228"/>
      <c r="AP228"/>
      <c r="AQ228"/>
      <c r="AR228"/>
      <c r="AS228"/>
      <c r="AT228"/>
      <c r="AU228"/>
      <c r="AV228"/>
      <c r="AW228"/>
      <c r="AX228"/>
      <c r="AY228"/>
      <c r="AZ228" s="83" t="s">
        <v>1529</v>
      </c>
      <c r="BA228" s="83" t="s">
        <v>1530</v>
      </c>
      <c r="BX228" s="79" t="s">
        <v>1691</v>
      </c>
      <c r="BY228" s="79">
        <v>20</v>
      </c>
      <c r="BZ228" s="79" t="s">
        <v>1692</v>
      </c>
      <c r="CA228" s="79" t="s">
        <v>1736</v>
      </c>
      <c r="CB228" s="79" t="s">
        <v>1895</v>
      </c>
      <c r="CG228" s="79">
        <v>20</v>
      </c>
      <c r="CH228" s="79" t="s">
        <v>1895</v>
      </c>
      <c r="CI228" s="79" t="s">
        <v>528</v>
      </c>
      <c r="CJ228" s="79" t="s">
        <v>1898</v>
      </c>
      <c r="CK228" s="79" t="s">
        <v>1920</v>
      </c>
      <c r="CL228" s="79" t="s">
        <v>19</v>
      </c>
      <c r="CM228" s="79">
        <v>3902</v>
      </c>
      <c r="CR228" s="79" t="s">
        <v>1987</v>
      </c>
      <c r="CT228" s="79" t="s">
        <v>19</v>
      </c>
    </row>
    <row r="229" spans="1:98" hidden="1">
      <c r="A229" s="29" t="s">
        <v>548</v>
      </c>
      <c r="B229" s="29" t="s">
        <v>83</v>
      </c>
      <c r="C229" s="30">
        <v>6</v>
      </c>
      <c r="D229" s="30" t="s">
        <v>534</v>
      </c>
      <c r="E229" s="30">
        <v>1</v>
      </c>
      <c r="F229" s="30"/>
      <c r="G229" s="30" t="s">
        <v>52</v>
      </c>
      <c r="H229" s="30"/>
      <c r="I229" s="30"/>
      <c r="J229" s="30"/>
      <c r="K229" s="30" t="s">
        <v>535</v>
      </c>
      <c r="L229" s="30" t="s">
        <v>534</v>
      </c>
      <c r="M229" s="30">
        <v>4</v>
      </c>
      <c r="N229" s="30"/>
      <c r="O229" s="23"/>
      <c r="P229" s="23"/>
      <c r="Q229" s="23"/>
      <c r="R229" s="23"/>
      <c r="S229" s="23" t="s">
        <v>64</v>
      </c>
      <c r="T229" s="23"/>
      <c r="U229" s="23" t="s">
        <v>54</v>
      </c>
      <c r="V229" s="23"/>
      <c r="W229" s="31">
        <v>0.73899999999999999</v>
      </c>
      <c r="Y229" t="s">
        <v>40</v>
      </c>
      <c r="Z229" t="s">
        <v>53</v>
      </c>
      <c r="AA229" t="s">
        <v>51</v>
      </c>
      <c r="AB229" t="s">
        <v>439</v>
      </c>
      <c r="AF229" t="s">
        <v>1437</v>
      </c>
      <c r="AG229" t="s">
        <v>58</v>
      </c>
      <c r="BX229" t="s">
        <v>535</v>
      </c>
    </row>
    <row r="230" spans="1:98" hidden="1">
      <c r="A230" s="32" t="s">
        <v>549</v>
      </c>
      <c r="B230" s="32" t="s">
        <v>220</v>
      </c>
      <c r="C230" s="23">
        <v>1</v>
      </c>
      <c r="D230" s="23">
        <v>855200</v>
      </c>
      <c r="E230" s="23">
        <v>1</v>
      </c>
      <c r="F230" s="23">
        <v>68</v>
      </c>
      <c r="G230" s="23" t="s">
        <v>85</v>
      </c>
      <c r="H230" s="23">
        <v>68</v>
      </c>
      <c r="I230" s="23" t="s">
        <v>85</v>
      </c>
      <c r="J230" s="23">
        <v>0</v>
      </c>
      <c r="K230" s="23" t="s">
        <v>537</v>
      </c>
      <c r="L230" s="23" t="s">
        <v>534</v>
      </c>
      <c r="M230" s="23"/>
      <c r="N230" s="23"/>
      <c r="O230" s="23"/>
      <c r="P230" s="23"/>
      <c r="Q230" s="23"/>
      <c r="R230" s="23"/>
      <c r="S230" s="23" t="s">
        <v>64</v>
      </c>
      <c r="T230" s="23"/>
      <c r="U230" s="23" t="s">
        <v>87</v>
      </c>
      <c r="V230" s="23"/>
      <c r="W230" s="33">
        <v>0</v>
      </c>
      <c r="Y230" t="s">
        <v>365</v>
      </c>
      <c r="Z230" t="s">
        <v>53</v>
      </c>
      <c r="AA230" t="s">
        <v>51</v>
      </c>
      <c r="AB230" t="s">
        <v>439</v>
      </c>
      <c r="AD230" t="s">
        <v>1432</v>
      </c>
      <c r="AF230" t="s">
        <v>1437</v>
      </c>
      <c r="AG230" t="s">
        <v>58</v>
      </c>
      <c r="BX230" t="s">
        <v>1788</v>
      </c>
      <c r="BY230">
        <v>40</v>
      </c>
      <c r="BZ230" t="s">
        <v>1789</v>
      </c>
      <c r="CA230" t="s">
        <v>1736</v>
      </c>
      <c r="CB230" t="s">
        <v>1737</v>
      </c>
    </row>
    <row r="231" spans="1:98" hidden="1">
      <c r="A231" s="32" t="s">
        <v>550</v>
      </c>
      <c r="B231" s="32" t="s">
        <v>83</v>
      </c>
      <c r="C231" s="23">
        <v>101</v>
      </c>
      <c r="D231" s="23">
        <v>404300</v>
      </c>
      <c r="E231" s="23">
        <v>6</v>
      </c>
      <c r="F231" s="23"/>
      <c r="G231" s="23" t="s">
        <v>52</v>
      </c>
      <c r="H231" s="23" t="s">
        <v>275</v>
      </c>
      <c r="I231" s="23"/>
      <c r="J231" s="23"/>
      <c r="K231" s="23" t="s">
        <v>367</v>
      </c>
      <c r="L231" s="23" t="s">
        <v>534</v>
      </c>
      <c r="M231" s="23"/>
      <c r="N231" s="23"/>
      <c r="O231" s="23"/>
      <c r="P231" s="23"/>
      <c r="Q231" s="23"/>
      <c r="R231" s="23"/>
      <c r="S231" s="23" t="s">
        <v>64</v>
      </c>
      <c r="T231" s="23"/>
      <c r="U231" s="23" t="s">
        <v>17</v>
      </c>
      <c r="V231" s="23"/>
      <c r="W231" s="33">
        <v>1.2999999999999999E-2</v>
      </c>
      <c r="Y231" t="s">
        <v>124</v>
      </c>
      <c r="Z231" t="s">
        <v>53</v>
      </c>
      <c r="AA231" t="s">
        <v>51</v>
      </c>
      <c r="AB231" t="s">
        <v>439</v>
      </c>
      <c r="AF231" t="s">
        <v>1437</v>
      </c>
      <c r="AG231" t="s">
        <v>58</v>
      </c>
      <c r="BX231" t="s">
        <v>1717</v>
      </c>
      <c r="BY231" t="s">
        <v>1758</v>
      </c>
      <c r="BZ231" t="s">
        <v>1759</v>
      </c>
      <c r="CA231" t="s">
        <v>1760</v>
      </c>
      <c r="CB231" t="s">
        <v>1761</v>
      </c>
    </row>
    <row r="232" spans="1:98" hidden="1">
      <c r="A232" s="29" t="s">
        <v>551</v>
      </c>
      <c r="B232" s="29" t="s">
        <v>79</v>
      </c>
      <c r="C232" s="30">
        <v>3</v>
      </c>
      <c r="D232" s="30" t="s">
        <v>552</v>
      </c>
      <c r="E232" s="30">
        <v>1</v>
      </c>
      <c r="F232" s="30"/>
      <c r="G232" s="30" t="s">
        <v>52</v>
      </c>
      <c r="H232" s="30"/>
      <c r="I232" s="30"/>
      <c r="J232" s="30"/>
      <c r="K232" s="30" t="s">
        <v>553</v>
      </c>
      <c r="L232" s="30" t="s">
        <v>552</v>
      </c>
      <c r="M232" s="30">
        <v>3</v>
      </c>
      <c r="N232" s="30"/>
      <c r="O232" s="23"/>
      <c r="P232" s="23"/>
      <c r="Q232" s="23"/>
      <c r="R232" s="23"/>
      <c r="S232" s="23" t="s">
        <v>64</v>
      </c>
      <c r="T232" s="23"/>
      <c r="U232" s="23" t="s">
        <v>54</v>
      </c>
      <c r="V232" s="23"/>
      <c r="W232" s="31">
        <v>5.66</v>
      </c>
      <c r="Y232" t="s">
        <v>40</v>
      </c>
      <c r="Z232" t="s">
        <v>53</v>
      </c>
      <c r="AA232" t="s">
        <v>51</v>
      </c>
      <c r="AB232" t="s">
        <v>439</v>
      </c>
      <c r="AC232" t="s">
        <v>1420</v>
      </c>
      <c r="AF232" t="s">
        <v>1437</v>
      </c>
      <c r="AG232" t="s">
        <v>58</v>
      </c>
      <c r="BX232" t="s">
        <v>553</v>
      </c>
    </row>
    <row r="233" spans="1:98" hidden="1">
      <c r="A233" s="32" t="s">
        <v>554</v>
      </c>
      <c r="B233" s="32" t="s">
        <v>83</v>
      </c>
      <c r="C233" s="23">
        <v>1</v>
      </c>
      <c r="D233" s="23">
        <v>147900</v>
      </c>
      <c r="E233" s="23">
        <v>1</v>
      </c>
      <c r="F233" s="23" t="s">
        <v>555</v>
      </c>
      <c r="G233" s="23" t="s">
        <v>85</v>
      </c>
      <c r="H233" s="23" t="s">
        <v>555</v>
      </c>
      <c r="I233" s="23" t="s">
        <v>85</v>
      </c>
      <c r="J233" s="23">
        <v>0</v>
      </c>
      <c r="K233" s="23" t="s">
        <v>556</v>
      </c>
      <c r="L233" s="23" t="s">
        <v>552</v>
      </c>
      <c r="M233" s="23"/>
      <c r="N233" s="23"/>
      <c r="O233" s="23"/>
      <c r="P233" s="23"/>
      <c r="Q233" s="23"/>
      <c r="R233" s="23"/>
      <c r="S233" s="23" t="s">
        <v>64</v>
      </c>
      <c r="T233" s="23"/>
      <c r="U233" s="23" t="s">
        <v>87</v>
      </c>
      <c r="V233" s="23"/>
      <c r="W233" s="33">
        <v>0</v>
      </c>
      <c r="Y233" t="s">
        <v>365</v>
      </c>
      <c r="Z233" t="s">
        <v>53</v>
      </c>
      <c r="AA233" t="s">
        <v>51</v>
      </c>
      <c r="AB233" t="s">
        <v>439</v>
      </c>
      <c r="AC233" t="s">
        <v>1420</v>
      </c>
      <c r="AF233" t="s">
        <v>1437</v>
      </c>
      <c r="AG233" t="s">
        <v>58</v>
      </c>
      <c r="BX233" t="s">
        <v>1790</v>
      </c>
      <c r="BY233" t="s">
        <v>1791</v>
      </c>
      <c r="BZ233" t="s">
        <v>1792</v>
      </c>
      <c r="CA233" t="s">
        <v>1737</v>
      </c>
    </row>
    <row r="234" spans="1:98" hidden="1">
      <c r="A234" s="32" t="s">
        <v>557</v>
      </c>
      <c r="B234" s="32" t="s">
        <v>83</v>
      </c>
      <c r="C234" s="23">
        <v>101</v>
      </c>
      <c r="D234" s="23">
        <v>24725700</v>
      </c>
      <c r="E234" s="23">
        <v>2</v>
      </c>
      <c r="F234" s="23"/>
      <c r="G234" s="23" t="s">
        <v>52</v>
      </c>
      <c r="H234" s="23" t="s">
        <v>168</v>
      </c>
      <c r="I234" s="23"/>
      <c r="J234" s="23"/>
      <c r="K234" s="23" t="s">
        <v>169</v>
      </c>
      <c r="L234" s="23" t="s">
        <v>552</v>
      </c>
      <c r="M234" s="23"/>
      <c r="N234" s="23"/>
      <c r="O234" s="23"/>
      <c r="P234" s="23"/>
      <c r="Q234" s="23"/>
      <c r="R234" s="23"/>
      <c r="S234" s="23" t="s">
        <v>64</v>
      </c>
      <c r="T234" s="23"/>
      <c r="U234" s="23" t="s">
        <v>17</v>
      </c>
      <c r="V234" s="23"/>
      <c r="W234" s="33">
        <v>0.1</v>
      </c>
      <c r="Y234" t="s">
        <v>124</v>
      </c>
      <c r="Z234" t="s">
        <v>53</v>
      </c>
      <c r="AA234" t="s">
        <v>51</v>
      </c>
      <c r="AB234" t="s">
        <v>439</v>
      </c>
      <c r="AF234" t="s">
        <v>1437</v>
      </c>
      <c r="AG234" t="s">
        <v>58</v>
      </c>
      <c r="BX234" t="s">
        <v>1713</v>
      </c>
      <c r="BY234" t="s">
        <v>1738</v>
      </c>
      <c r="BZ234" t="s">
        <v>1714</v>
      </c>
      <c r="CA234" s="76">
        <v>46242</v>
      </c>
      <c r="CB234" t="s">
        <v>1715</v>
      </c>
      <c r="CC234" t="s">
        <v>1716</v>
      </c>
    </row>
    <row r="235" spans="1:98" hidden="1">
      <c r="A235" s="32" t="s">
        <v>558</v>
      </c>
      <c r="B235" s="32" t="s">
        <v>83</v>
      </c>
      <c r="C235" s="23">
        <v>102</v>
      </c>
      <c r="D235" s="23">
        <v>28506600</v>
      </c>
      <c r="E235" s="23">
        <v>2</v>
      </c>
      <c r="F235" s="23"/>
      <c r="G235" s="23" t="s">
        <v>52</v>
      </c>
      <c r="H235" s="23" t="s">
        <v>357</v>
      </c>
      <c r="I235" s="23"/>
      <c r="J235" s="23"/>
      <c r="K235" s="23" t="s">
        <v>358</v>
      </c>
      <c r="L235" s="23" t="s">
        <v>552</v>
      </c>
      <c r="M235" s="23"/>
      <c r="N235" s="23"/>
      <c r="O235" s="23"/>
      <c r="P235" s="23"/>
      <c r="Q235" s="23"/>
      <c r="R235" s="23"/>
      <c r="S235" s="23" t="s">
        <v>64</v>
      </c>
      <c r="T235" s="23"/>
      <c r="U235" s="23" t="s">
        <v>17</v>
      </c>
      <c r="V235" s="23"/>
      <c r="W235" s="33">
        <v>3.3000000000000002E-2</v>
      </c>
      <c r="Y235" t="s">
        <v>124</v>
      </c>
      <c r="Z235" t="s">
        <v>53</v>
      </c>
      <c r="AA235" t="s">
        <v>51</v>
      </c>
      <c r="AB235" t="s">
        <v>439</v>
      </c>
      <c r="AF235" t="s">
        <v>1437</v>
      </c>
      <c r="AG235" t="s">
        <v>58</v>
      </c>
      <c r="BX235" t="s">
        <v>1717</v>
      </c>
      <c r="BY235" t="s">
        <v>357</v>
      </c>
      <c r="BZ235" t="s">
        <v>1718</v>
      </c>
      <c r="CA235">
        <v>8</v>
      </c>
      <c r="CB235" t="s">
        <v>1715</v>
      </c>
      <c r="CC235" t="s">
        <v>1716</v>
      </c>
    </row>
    <row r="236" spans="1:98" hidden="1">
      <c r="A236" s="32" t="s">
        <v>559</v>
      </c>
      <c r="B236" s="32" t="s">
        <v>83</v>
      </c>
      <c r="C236" s="23">
        <v>103</v>
      </c>
      <c r="D236" s="23">
        <v>3286900</v>
      </c>
      <c r="E236" s="23">
        <v>4</v>
      </c>
      <c r="F236" s="23"/>
      <c r="G236" s="23" t="s">
        <v>52</v>
      </c>
      <c r="H236" s="23"/>
      <c r="I236" s="23"/>
      <c r="J236" s="23"/>
      <c r="K236" s="23" t="s">
        <v>560</v>
      </c>
      <c r="L236" s="23" t="s">
        <v>552</v>
      </c>
      <c r="M236" s="23"/>
      <c r="N236" s="23"/>
      <c r="O236" s="23"/>
      <c r="P236" s="23"/>
      <c r="Q236" s="23"/>
      <c r="R236" s="23"/>
      <c r="S236" s="23" t="s">
        <v>64</v>
      </c>
      <c r="T236" s="23"/>
      <c r="U236" s="23" t="s">
        <v>17</v>
      </c>
      <c r="V236" s="23"/>
      <c r="W236" s="33">
        <v>7.0000000000000001E-3</v>
      </c>
      <c r="Y236" t="s">
        <v>124</v>
      </c>
      <c r="Z236" t="s">
        <v>53</v>
      </c>
      <c r="AA236" t="s">
        <v>51</v>
      </c>
      <c r="AB236" t="s">
        <v>439</v>
      </c>
      <c r="AF236" t="s">
        <v>1437</v>
      </c>
      <c r="AG236" t="s">
        <v>58</v>
      </c>
      <c r="BX236" t="s">
        <v>1719</v>
      </c>
      <c r="BY236" t="s">
        <v>357</v>
      </c>
      <c r="BZ236" t="s">
        <v>1748</v>
      </c>
      <c r="CA236" t="s">
        <v>1749</v>
      </c>
      <c r="CB236" t="s">
        <v>1715</v>
      </c>
      <c r="CC236" t="s">
        <v>1716</v>
      </c>
    </row>
    <row r="237" spans="1:98" hidden="1">
      <c r="A237" s="29" t="s">
        <v>561</v>
      </c>
      <c r="B237" s="29" t="s">
        <v>79</v>
      </c>
      <c r="C237" s="30">
        <v>4</v>
      </c>
      <c r="D237" s="30" t="s">
        <v>562</v>
      </c>
      <c r="E237" s="30">
        <v>1</v>
      </c>
      <c r="F237" s="30"/>
      <c r="G237" s="30" t="s">
        <v>52</v>
      </c>
      <c r="H237" s="30"/>
      <c r="I237" s="30"/>
      <c r="J237" s="30"/>
      <c r="K237" s="30" t="s">
        <v>563</v>
      </c>
      <c r="L237" s="30" t="s">
        <v>562</v>
      </c>
      <c r="M237" s="30">
        <v>3</v>
      </c>
      <c r="N237" s="30"/>
      <c r="O237" s="23"/>
      <c r="P237" s="23"/>
      <c r="Q237" s="23"/>
      <c r="R237" s="23"/>
      <c r="S237" s="23" t="s">
        <v>64</v>
      </c>
      <c r="T237" s="23"/>
      <c r="U237" s="23" t="s">
        <v>54</v>
      </c>
      <c r="V237" s="23"/>
      <c r="W237" s="31">
        <v>3.2</v>
      </c>
      <c r="Y237" t="s">
        <v>40</v>
      </c>
      <c r="Z237" t="s">
        <v>53</v>
      </c>
      <c r="AA237" t="s">
        <v>51</v>
      </c>
      <c r="AB237" t="s">
        <v>439</v>
      </c>
      <c r="AF237" t="s">
        <v>1437</v>
      </c>
      <c r="AG237" t="s">
        <v>58</v>
      </c>
      <c r="BX237" t="s">
        <v>563</v>
      </c>
    </row>
    <row r="238" spans="1:98" hidden="1">
      <c r="A238" s="32" t="s">
        <v>564</v>
      </c>
      <c r="B238" s="32" t="s">
        <v>83</v>
      </c>
      <c r="C238" s="23">
        <v>1</v>
      </c>
      <c r="D238" s="23">
        <v>312300</v>
      </c>
      <c r="E238" s="23">
        <v>1</v>
      </c>
      <c r="F238" s="23" t="s">
        <v>565</v>
      </c>
      <c r="G238" s="23" t="s">
        <v>85</v>
      </c>
      <c r="H238" s="23" t="s">
        <v>565</v>
      </c>
      <c r="I238" s="23" t="s">
        <v>85</v>
      </c>
      <c r="J238" s="23">
        <v>0</v>
      </c>
      <c r="K238" s="23" t="s">
        <v>566</v>
      </c>
      <c r="L238" s="23" t="s">
        <v>562</v>
      </c>
      <c r="M238" s="23"/>
      <c r="N238" s="23"/>
      <c r="O238" s="23"/>
      <c r="P238" s="23"/>
      <c r="Q238" s="23"/>
      <c r="R238" s="23"/>
      <c r="S238" s="23" t="s">
        <v>64</v>
      </c>
      <c r="T238" s="23"/>
      <c r="U238" s="23" t="s">
        <v>87</v>
      </c>
      <c r="V238" s="23"/>
      <c r="W238" s="33">
        <v>0</v>
      </c>
      <c r="Y238" t="s">
        <v>365</v>
      </c>
      <c r="Z238" t="s">
        <v>53</v>
      </c>
      <c r="AA238" t="s">
        <v>51</v>
      </c>
      <c r="AB238" t="s">
        <v>439</v>
      </c>
      <c r="AF238" t="s">
        <v>1437</v>
      </c>
      <c r="AG238" t="s">
        <v>58</v>
      </c>
      <c r="BX238" t="s">
        <v>1790</v>
      </c>
      <c r="BY238" t="s">
        <v>1793</v>
      </c>
      <c r="BZ238" t="s">
        <v>1792</v>
      </c>
      <c r="CA238" t="s">
        <v>1737</v>
      </c>
    </row>
    <row r="239" spans="1:98" hidden="1">
      <c r="A239" s="32" t="s">
        <v>567</v>
      </c>
      <c r="B239" s="32" t="s">
        <v>83</v>
      </c>
      <c r="C239" s="23">
        <v>101</v>
      </c>
      <c r="D239" s="23">
        <v>24379000</v>
      </c>
      <c r="E239" s="23">
        <v>2</v>
      </c>
      <c r="F239" s="23"/>
      <c r="G239" s="23" t="s">
        <v>52</v>
      </c>
      <c r="H239" s="23" t="s">
        <v>568</v>
      </c>
      <c r="I239" s="23"/>
      <c r="J239" s="23"/>
      <c r="K239" s="23" t="s">
        <v>569</v>
      </c>
      <c r="L239" s="23" t="s">
        <v>562</v>
      </c>
      <c r="M239" s="23"/>
      <c r="N239" s="23"/>
      <c r="O239" s="23"/>
      <c r="P239" s="23"/>
      <c r="Q239" s="23"/>
      <c r="R239" s="23"/>
      <c r="S239" s="23" t="s">
        <v>64</v>
      </c>
      <c r="T239" s="23"/>
      <c r="U239" s="23" t="s">
        <v>17</v>
      </c>
      <c r="V239" s="23"/>
      <c r="W239" s="33">
        <v>0.1</v>
      </c>
      <c r="Y239" t="s">
        <v>124</v>
      </c>
      <c r="Z239" t="s">
        <v>53</v>
      </c>
      <c r="AA239" t="s">
        <v>51</v>
      </c>
      <c r="AB239" t="s">
        <v>439</v>
      </c>
      <c r="AF239" t="s">
        <v>1437</v>
      </c>
      <c r="AG239" t="s">
        <v>58</v>
      </c>
      <c r="BX239" t="s">
        <v>1713</v>
      </c>
      <c r="BY239" t="s">
        <v>568</v>
      </c>
      <c r="BZ239" t="s">
        <v>1714</v>
      </c>
      <c r="CA239" s="76">
        <v>46242</v>
      </c>
      <c r="CB239" t="s">
        <v>1715</v>
      </c>
      <c r="CC239" t="s">
        <v>1716</v>
      </c>
    </row>
    <row r="240" spans="1:98" hidden="1">
      <c r="A240" s="32" t="s">
        <v>570</v>
      </c>
      <c r="B240" s="32" t="s">
        <v>83</v>
      </c>
      <c r="C240" s="23">
        <v>102</v>
      </c>
      <c r="D240" s="23">
        <v>24707900</v>
      </c>
      <c r="E240" s="23">
        <v>2</v>
      </c>
      <c r="F240" s="23"/>
      <c r="G240" s="23" t="s">
        <v>52</v>
      </c>
      <c r="H240" s="23" t="s">
        <v>275</v>
      </c>
      <c r="I240" s="23"/>
      <c r="J240" s="23"/>
      <c r="K240" s="23" t="s">
        <v>276</v>
      </c>
      <c r="L240" s="23" t="s">
        <v>562</v>
      </c>
      <c r="M240" s="23"/>
      <c r="N240" s="23"/>
      <c r="O240" s="23"/>
      <c r="P240" s="23"/>
      <c r="Q240" s="23"/>
      <c r="R240" s="23"/>
      <c r="S240" s="23" t="s">
        <v>64</v>
      </c>
      <c r="T240" s="23"/>
      <c r="U240" s="23" t="s">
        <v>17</v>
      </c>
      <c r="V240" s="23"/>
      <c r="W240" s="33">
        <v>1.7000000000000001E-2</v>
      </c>
      <c r="Y240" t="s">
        <v>124</v>
      </c>
      <c r="Z240" t="s">
        <v>53</v>
      </c>
      <c r="AA240" t="s">
        <v>51</v>
      </c>
      <c r="AB240" t="s">
        <v>439</v>
      </c>
      <c r="AF240" t="s">
        <v>1437</v>
      </c>
      <c r="AG240" t="s">
        <v>58</v>
      </c>
      <c r="BX240" t="s">
        <v>1717</v>
      </c>
      <c r="BY240" t="s">
        <v>275</v>
      </c>
      <c r="BZ240" t="s">
        <v>1718</v>
      </c>
      <c r="CA240">
        <v>8</v>
      </c>
      <c r="CB240" t="s">
        <v>1715</v>
      </c>
      <c r="CC240" t="s">
        <v>1716</v>
      </c>
    </row>
    <row r="241" spans="1:96" hidden="1">
      <c r="A241" s="32" t="s">
        <v>571</v>
      </c>
      <c r="B241" s="32" t="s">
        <v>83</v>
      </c>
      <c r="C241" s="23">
        <v>103</v>
      </c>
      <c r="D241" s="23">
        <v>24484200</v>
      </c>
      <c r="E241" s="23">
        <v>4</v>
      </c>
      <c r="F241" s="23"/>
      <c r="G241" s="23" t="s">
        <v>52</v>
      </c>
      <c r="H241" s="23">
        <v>13</v>
      </c>
      <c r="I241" s="23"/>
      <c r="J241" s="23"/>
      <c r="K241" s="23" t="s">
        <v>278</v>
      </c>
      <c r="L241" s="23" t="s">
        <v>562</v>
      </c>
      <c r="M241" s="23"/>
      <c r="N241" s="23"/>
      <c r="O241" s="23"/>
      <c r="P241" s="23"/>
      <c r="Q241" s="23"/>
      <c r="R241" s="23"/>
      <c r="S241" s="23" t="s">
        <v>64</v>
      </c>
      <c r="T241" s="23"/>
      <c r="U241" s="23" t="s">
        <v>17</v>
      </c>
      <c r="V241" s="23"/>
      <c r="W241" s="33">
        <v>0.01</v>
      </c>
      <c r="Y241" t="s">
        <v>124</v>
      </c>
      <c r="Z241" t="s">
        <v>53</v>
      </c>
      <c r="AA241" t="s">
        <v>51</v>
      </c>
      <c r="AB241" t="s">
        <v>439</v>
      </c>
      <c r="AF241" t="s">
        <v>1437</v>
      </c>
      <c r="AG241" t="s">
        <v>58</v>
      </c>
      <c r="BX241" t="s">
        <v>1719</v>
      </c>
      <c r="BY241">
        <v>13</v>
      </c>
      <c r="BZ241" t="s">
        <v>763</v>
      </c>
      <c r="CA241" t="s">
        <v>1720</v>
      </c>
      <c r="CB241" t="s">
        <v>1721</v>
      </c>
    </row>
    <row r="242" spans="1:96" hidden="1">
      <c r="A242" s="29" t="s">
        <v>572</v>
      </c>
      <c r="B242" s="29" t="s">
        <v>79</v>
      </c>
      <c r="C242" s="30">
        <v>5</v>
      </c>
      <c r="D242" s="30" t="s">
        <v>573</v>
      </c>
      <c r="E242" s="30">
        <v>2</v>
      </c>
      <c r="F242" s="30"/>
      <c r="G242" s="30" t="s">
        <v>52</v>
      </c>
      <c r="H242" s="30"/>
      <c r="I242" s="30"/>
      <c r="J242" s="30"/>
      <c r="K242" s="30" t="s">
        <v>574</v>
      </c>
      <c r="L242" s="30" t="s">
        <v>573</v>
      </c>
      <c r="M242" s="30">
        <v>4</v>
      </c>
      <c r="N242" s="30"/>
      <c r="O242" s="23"/>
      <c r="P242" s="23"/>
      <c r="Q242" s="23"/>
      <c r="R242" s="23"/>
      <c r="S242" s="23" t="s">
        <v>64</v>
      </c>
      <c r="T242" s="23"/>
      <c r="U242" s="23" t="s">
        <v>54</v>
      </c>
      <c r="V242" s="23"/>
      <c r="W242" s="31">
        <v>0.6</v>
      </c>
      <c r="Y242" t="s">
        <v>40</v>
      </c>
      <c r="Z242" t="s">
        <v>53</v>
      </c>
      <c r="AA242" t="s">
        <v>51</v>
      </c>
      <c r="AB242" t="s">
        <v>439</v>
      </c>
      <c r="AC242" t="s">
        <v>1420</v>
      </c>
      <c r="AF242" t="s">
        <v>1437</v>
      </c>
      <c r="AG242" t="s">
        <v>58</v>
      </c>
      <c r="BX242" t="s">
        <v>574</v>
      </c>
    </row>
    <row r="243" spans="1:96" hidden="1">
      <c r="A243" s="32" t="s">
        <v>575</v>
      </c>
      <c r="B243" s="32" t="s">
        <v>83</v>
      </c>
      <c r="C243" s="23">
        <v>1</v>
      </c>
      <c r="D243" s="23">
        <v>2500</v>
      </c>
      <c r="E243" s="23">
        <v>2</v>
      </c>
      <c r="F243" s="23">
        <v>1.0999999999999999E-2</v>
      </c>
      <c r="G243" s="23" t="s">
        <v>89</v>
      </c>
      <c r="H243" s="23">
        <v>77</v>
      </c>
      <c r="I243" s="23" t="s">
        <v>85</v>
      </c>
      <c r="J243" s="23">
        <v>75</v>
      </c>
      <c r="K243" s="23" t="s">
        <v>497</v>
      </c>
      <c r="L243" s="23" t="s">
        <v>573</v>
      </c>
      <c r="M243" s="23"/>
      <c r="N243" s="23"/>
      <c r="O243" s="23"/>
      <c r="P243" s="23"/>
      <c r="Q243" s="23"/>
      <c r="R243" s="23"/>
      <c r="S243" s="23" t="s">
        <v>64</v>
      </c>
      <c r="T243" s="23"/>
      <c r="U243" s="23" t="s">
        <v>87</v>
      </c>
      <c r="V243" s="23"/>
      <c r="W243" s="33">
        <v>0</v>
      </c>
      <c r="Y243" t="s">
        <v>161</v>
      </c>
      <c r="Z243" t="s">
        <v>53</v>
      </c>
      <c r="AA243" t="s">
        <v>51</v>
      </c>
      <c r="AB243" t="s">
        <v>439</v>
      </c>
      <c r="AC243" t="s">
        <v>1420</v>
      </c>
      <c r="AF243" t="s">
        <v>1437</v>
      </c>
      <c r="AG243" t="s">
        <v>58</v>
      </c>
      <c r="AI243" t="str">
        <f>BY243&amp;"_"&amp;CB243&amp;"_"&amp;L243&amp;"_p"&amp;C243&amp;"_"&amp;E243&amp;"st_"&amp;AK243&amp;"_"&amp;RIGHT(AG243,4)&amp;"_"&amp;AL243</f>
        <v>15_S235_SL40043901_p1_2st__2050_</v>
      </c>
      <c r="AM243" t="s">
        <v>1673</v>
      </c>
      <c r="AZ243" s="64" t="s">
        <v>1533</v>
      </c>
      <c r="BA243" s="64" t="s">
        <v>1534</v>
      </c>
      <c r="BX243" t="s">
        <v>1691</v>
      </c>
      <c r="BY243">
        <v>15</v>
      </c>
      <c r="BZ243" t="s">
        <v>1692</v>
      </c>
      <c r="CA243" t="s">
        <v>1736</v>
      </c>
      <c r="CB243" t="s">
        <v>1895</v>
      </c>
      <c r="CG243">
        <v>15</v>
      </c>
      <c r="CH243" t="s">
        <v>1895</v>
      </c>
      <c r="CI243" t="s">
        <v>573</v>
      </c>
      <c r="CJ243" t="s">
        <v>1898</v>
      </c>
      <c r="CK243" t="s">
        <v>1899</v>
      </c>
      <c r="CL243" t="s">
        <v>19</v>
      </c>
      <c r="CM243">
        <v>3902</v>
      </c>
      <c r="CN243">
        <v>4</v>
      </c>
      <c r="CR243" t="s">
        <v>1989</v>
      </c>
    </row>
    <row r="244" spans="1:96" hidden="1">
      <c r="A244" s="32" t="s">
        <v>576</v>
      </c>
      <c r="B244" s="32" t="s">
        <v>83</v>
      </c>
      <c r="C244" s="23">
        <v>101</v>
      </c>
      <c r="D244" s="23">
        <v>735800</v>
      </c>
      <c r="E244" s="23">
        <v>2</v>
      </c>
      <c r="F244" s="23"/>
      <c r="G244" s="23" t="s">
        <v>52</v>
      </c>
      <c r="H244" s="23" t="s">
        <v>411</v>
      </c>
      <c r="I244" s="23"/>
      <c r="J244" s="23"/>
      <c r="K244" s="23" t="s">
        <v>412</v>
      </c>
      <c r="L244" s="23" t="s">
        <v>573</v>
      </c>
      <c r="M244" s="23"/>
      <c r="N244" s="23"/>
      <c r="O244" s="23"/>
      <c r="P244" s="23"/>
      <c r="Q244" s="23"/>
      <c r="R244" s="23"/>
      <c r="S244" s="23" t="s">
        <v>64</v>
      </c>
      <c r="T244" s="23"/>
      <c r="U244" s="23" t="s">
        <v>17</v>
      </c>
      <c r="V244" s="23"/>
      <c r="W244" s="33">
        <v>0.09</v>
      </c>
      <c r="Y244" t="s">
        <v>124</v>
      </c>
      <c r="Z244" t="s">
        <v>53</v>
      </c>
      <c r="AA244" t="s">
        <v>51</v>
      </c>
      <c r="AB244" t="s">
        <v>439</v>
      </c>
      <c r="AF244" t="s">
        <v>1437</v>
      </c>
      <c r="AG244" t="s">
        <v>58</v>
      </c>
      <c r="BX244" t="s">
        <v>1717</v>
      </c>
      <c r="BY244" t="s">
        <v>411</v>
      </c>
      <c r="BZ244" t="s">
        <v>1718</v>
      </c>
      <c r="CA244">
        <v>8</v>
      </c>
      <c r="CB244" t="s">
        <v>1715</v>
      </c>
      <c r="CC244" t="s">
        <v>1716</v>
      </c>
    </row>
    <row r="245" spans="1:96" hidden="1">
      <c r="A245" s="32" t="s">
        <v>577</v>
      </c>
      <c r="B245" s="32" t="s">
        <v>83</v>
      </c>
      <c r="C245" s="23">
        <v>102</v>
      </c>
      <c r="D245" s="23">
        <v>3719100</v>
      </c>
      <c r="E245" s="23">
        <v>4</v>
      </c>
      <c r="F245" s="23"/>
      <c r="G245" s="23" t="s">
        <v>52</v>
      </c>
      <c r="H245" s="23" t="s">
        <v>578</v>
      </c>
      <c r="I245" s="23"/>
      <c r="J245" s="23"/>
      <c r="K245" s="23" t="s">
        <v>579</v>
      </c>
      <c r="L245" s="23" t="s">
        <v>573</v>
      </c>
      <c r="M245" s="23"/>
      <c r="N245" s="23"/>
      <c r="O245" s="23"/>
      <c r="P245" s="23"/>
      <c r="Q245" s="23"/>
      <c r="R245" s="23"/>
      <c r="S245" s="23" t="s">
        <v>64</v>
      </c>
      <c r="T245" s="23"/>
      <c r="U245" s="23" t="s">
        <v>17</v>
      </c>
      <c r="V245" s="23"/>
      <c r="W245" s="33">
        <v>4.9000000000000002E-2</v>
      </c>
      <c r="Y245" t="s">
        <v>124</v>
      </c>
      <c r="Z245" t="s">
        <v>53</v>
      </c>
      <c r="AA245" t="s">
        <v>51</v>
      </c>
      <c r="AB245" t="s">
        <v>439</v>
      </c>
      <c r="AF245" t="s">
        <v>1437</v>
      </c>
      <c r="AG245" t="s">
        <v>58</v>
      </c>
      <c r="BX245" t="s">
        <v>1713</v>
      </c>
      <c r="BY245" t="s">
        <v>578</v>
      </c>
      <c r="BZ245" t="s">
        <v>1714</v>
      </c>
      <c r="CA245" s="76">
        <v>46242</v>
      </c>
      <c r="CB245" t="s">
        <v>1715</v>
      </c>
      <c r="CC245" t="s">
        <v>1716</v>
      </c>
    </row>
    <row r="246" spans="1:96" hidden="1">
      <c r="A246" s="32" t="s">
        <v>580</v>
      </c>
      <c r="B246" s="32" t="s">
        <v>83</v>
      </c>
      <c r="C246" s="23">
        <v>103</v>
      </c>
      <c r="D246" s="23">
        <v>24707900</v>
      </c>
      <c r="E246" s="23">
        <v>4</v>
      </c>
      <c r="F246" s="23"/>
      <c r="G246" s="23" t="s">
        <v>52</v>
      </c>
      <c r="H246" s="23" t="s">
        <v>275</v>
      </c>
      <c r="I246" s="23"/>
      <c r="J246" s="23"/>
      <c r="K246" s="23" t="s">
        <v>276</v>
      </c>
      <c r="L246" s="23" t="s">
        <v>573</v>
      </c>
      <c r="M246" s="23"/>
      <c r="N246" s="23"/>
      <c r="O246" s="23"/>
      <c r="P246" s="23"/>
      <c r="Q246" s="23"/>
      <c r="R246" s="23"/>
      <c r="S246" s="23" t="s">
        <v>64</v>
      </c>
      <c r="T246" s="23"/>
      <c r="U246" s="23" t="s">
        <v>17</v>
      </c>
      <c r="V246" s="23"/>
      <c r="W246" s="33">
        <v>1.7000000000000001E-2</v>
      </c>
      <c r="Y246" t="s">
        <v>124</v>
      </c>
      <c r="Z246" t="s">
        <v>53</v>
      </c>
      <c r="AA246" t="s">
        <v>51</v>
      </c>
      <c r="AB246" t="s">
        <v>439</v>
      </c>
      <c r="AF246" t="s">
        <v>1437</v>
      </c>
      <c r="AG246" t="s">
        <v>58</v>
      </c>
      <c r="BX246" t="s">
        <v>1717</v>
      </c>
      <c r="BY246" t="s">
        <v>275</v>
      </c>
      <c r="BZ246" t="s">
        <v>1718</v>
      </c>
      <c r="CA246">
        <v>8</v>
      </c>
      <c r="CB246" t="s">
        <v>1715</v>
      </c>
      <c r="CC246" t="s">
        <v>1716</v>
      </c>
    </row>
    <row r="247" spans="1:96" hidden="1">
      <c r="A247" s="32" t="s">
        <v>581</v>
      </c>
      <c r="B247" s="32" t="s">
        <v>83</v>
      </c>
      <c r="C247" s="23">
        <v>104</v>
      </c>
      <c r="D247" s="23">
        <v>24484200</v>
      </c>
      <c r="E247" s="23">
        <v>8</v>
      </c>
      <c r="F247" s="23"/>
      <c r="G247" s="23" t="s">
        <v>52</v>
      </c>
      <c r="H247" s="23">
        <v>13</v>
      </c>
      <c r="I247" s="23"/>
      <c r="J247" s="23"/>
      <c r="K247" s="23" t="s">
        <v>278</v>
      </c>
      <c r="L247" s="23" t="s">
        <v>573</v>
      </c>
      <c r="M247" s="23"/>
      <c r="N247" s="23"/>
      <c r="O247" s="23"/>
      <c r="P247" s="23"/>
      <c r="Q247" s="23"/>
      <c r="R247" s="23"/>
      <c r="S247" s="23" t="s">
        <v>64</v>
      </c>
      <c r="T247" s="23"/>
      <c r="U247" s="23" t="s">
        <v>17</v>
      </c>
      <c r="V247" s="23"/>
      <c r="W247" s="33">
        <v>0.01</v>
      </c>
      <c r="Y247" t="s">
        <v>124</v>
      </c>
      <c r="Z247" t="s">
        <v>53</v>
      </c>
      <c r="AA247" t="s">
        <v>51</v>
      </c>
      <c r="AB247" t="s">
        <v>439</v>
      </c>
      <c r="AF247" t="s">
        <v>1437</v>
      </c>
      <c r="AG247" t="s">
        <v>58</v>
      </c>
      <c r="BX247" t="s">
        <v>1719</v>
      </c>
      <c r="BY247">
        <v>13</v>
      </c>
      <c r="BZ247" t="s">
        <v>763</v>
      </c>
      <c r="CA247" t="s">
        <v>1720</v>
      </c>
      <c r="CB247" t="s">
        <v>1721</v>
      </c>
    </row>
    <row r="248" spans="1:96" hidden="1">
      <c r="A248" s="29" t="s">
        <v>582</v>
      </c>
      <c r="B248" s="29" t="s">
        <v>74</v>
      </c>
      <c r="C248" s="30">
        <v>5</v>
      </c>
      <c r="D248" s="30" t="s">
        <v>583</v>
      </c>
      <c r="E248" s="30">
        <v>1</v>
      </c>
      <c r="F248" s="30"/>
      <c r="G248" s="30" t="s">
        <v>52</v>
      </c>
      <c r="H248" s="30"/>
      <c r="I248" s="30"/>
      <c r="J248" s="30"/>
      <c r="K248" s="30" t="s">
        <v>584</v>
      </c>
      <c r="L248" s="30" t="s">
        <v>583</v>
      </c>
      <c r="M248" s="30">
        <v>1</v>
      </c>
      <c r="N248" s="30"/>
      <c r="O248" s="23"/>
      <c r="P248" s="23"/>
      <c r="Q248" s="23"/>
      <c r="R248" s="23"/>
      <c r="S248" s="23" t="s">
        <v>64</v>
      </c>
      <c r="T248" s="23"/>
      <c r="U248" s="23" t="s">
        <v>54</v>
      </c>
      <c r="V248" s="23"/>
      <c r="W248" s="31">
        <v>17.5</v>
      </c>
      <c r="Y248" t="s">
        <v>40</v>
      </c>
      <c r="Z248" t="s">
        <v>53</v>
      </c>
      <c r="AA248" t="s">
        <v>51</v>
      </c>
      <c r="AB248" t="s">
        <v>439</v>
      </c>
      <c r="AF248" t="s">
        <v>1437</v>
      </c>
      <c r="AG248" t="s">
        <v>58</v>
      </c>
      <c r="BX248" t="s">
        <v>584</v>
      </c>
    </row>
    <row r="249" spans="1:96" hidden="1">
      <c r="A249" s="29" t="s">
        <v>585</v>
      </c>
      <c r="B249" s="29" t="s">
        <v>79</v>
      </c>
      <c r="C249" s="30">
        <v>1</v>
      </c>
      <c r="D249" s="30" t="s">
        <v>586</v>
      </c>
      <c r="E249" s="30">
        <v>1</v>
      </c>
      <c r="F249" s="30"/>
      <c r="G249" s="30" t="s">
        <v>52</v>
      </c>
      <c r="H249" s="30"/>
      <c r="I249" s="30"/>
      <c r="J249" s="30"/>
      <c r="K249" s="30" t="s">
        <v>587</v>
      </c>
      <c r="L249" s="30" t="s">
        <v>586</v>
      </c>
      <c r="M249" s="30">
        <v>1</v>
      </c>
      <c r="N249" s="30"/>
      <c r="O249" s="23"/>
      <c r="P249" s="23"/>
      <c r="Q249" s="23"/>
      <c r="R249" s="23"/>
      <c r="S249" s="23" t="s">
        <v>64</v>
      </c>
      <c r="T249" s="23"/>
      <c r="U249" s="23" t="s">
        <v>54</v>
      </c>
      <c r="V249" s="23"/>
      <c r="W249" s="31">
        <v>12.4</v>
      </c>
      <c r="Y249" t="s">
        <v>40</v>
      </c>
      <c r="Z249" t="s">
        <v>53</v>
      </c>
      <c r="AA249" t="s">
        <v>51</v>
      </c>
      <c r="AB249" t="s">
        <v>439</v>
      </c>
      <c r="AC249" t="s">
        <v>1420</v>
      </c>
      <c r="AF249" t="s">
        <v>1437</v>
      </c>
      <c r="AG249" t="s">
        <v>58</v>
      </c>
      <c r="BX249" t="s">
        <v>587</v>
      </c>
    </row>
    <row r="250" spans="1:96" hidden="1">
      <c r="A250" s="32" t="s">
        <v>588</v>
      </c>
      <c r="B250" s="32" t="s">
        <v>83</v>
      </c>
      <c r="C250" s="23">
        <v>1</v>
      </c>
      <c r="D250" s="23">
        <v>3670100</v>
      </c>
      <c r="E250" s="23">
        <v>1</v>
      </c>
      <c r="F250" s="23">
        <v>0.19500000000000001</v>
      </c>
      <c r="G250" s="23" t="s">
        <v>89</v>
      </c>
      <c r="H250" s="23">
        <v>155</v>
      </c>
      <c r="I250" s="23" t="s">
        <v>85</v>
      </c>
      <c r="J250" s="23" t="s">
        <v>589</v>
      </c>
      <c r="K250" s="23" t="s">
        <v>188</v>
      </c>
      <c r="L250" s="23" t="s">
        <v>586</v>
      </c>
      <c r="M250" s="23"/>
      <c r="N250" s="23"/>
      <c r="O250" s="23"/>
      <c r="P250" s="23"/>
      <c r="Q250" s="23"/>
      <c r="R250" s="23"/>
      <c r="S250" s="23" t="s">
        <v>64</v>
      </c>
      <c r="T250" s="23"/>
      <c r="U250" s="23" t="s">
        <v>87</v>
      </c>
      <c r="V250" s="23"/>
      <c r="W250" s="33">
        <v>0</v>
      </c>
      <c r="Y250" t="s">
        <v>161</v>
      </c>
      <c r="Z250" t="s">
        <v>53</v>
      </c>
      <c r="AA250" t="s">
        <v>51</v>
      </c>
      <c r="AB250" t="s">
        <v>439</v>
      </c>
      <c r="AC250" t="s">
        <v>1420</v>
      </c>
      <c r="AF250" t="s">
        <v>1437</v>
      </c>
      <c r="AG250" t="s">
        <v>58</v>
      </c>
      <c r="AI250" t="str">
        <f t="shared" ref="AI250:AI253" si="23">BY250&amp;"_"&amp;CB250&amp;"_"&amp;L250&amp;"_p"&amp;C250&amp;"_"&amp;E250&amp;"st_"&amp;AK250&amp;"_"&amp;RIGHT(AG250,4)&amp;"_"&amp;AL250</f>
        <v>5_S235_SL41045201_p1_1st__2050_</v>
      </c>
      <c r="AM250" t="s">
        <v>1673</v>
      </c>
      <c r="AZ250" s="64" t="s">
        <v>1535</v>
      </c>
      <c r="BA250" s="64" t="s">
        <v>1536</v>
      </c>
      <c r="BX250" t="s">
        <v>1691</v>
      </c>
      <c r="BY250">
        <v>5</v>
      </c>
      <c r="BZ250" t="s">
        <v>1692</v>
      </c>
      <c r="CA250" t="s">
        <v>1693</v>
      </c>
      <c r="CB250" t="s">
        <v>1895</v>
      </c>
      <c r="CG250">
        <v>5</v>
      </c>
      <c r="CH250" t="s">
        <v>1895</v>
      </c>
      <c r="CI250" t="s">
        <v>586</v>
      </c>
      <c r="CJ250" t="s">
        <v>1898</v>
      </c>
      <c r="CK250" t="s">
        <v>1902</v>
      </c>
      <c r="CL250" t="s">
        <v>1903</v>
      </c>
      <c r="CM250">
        <v>9184</v>
      </c>
      <c r="CR250" t="s">
        <v>1990</v>
      </c>
    </row>
    <row r="251" spans="1:96" hidden="1">
      <c r="A251" s="32" t="s">
        <v>590</v>
      </c>
      <c r="B251" s="32" t="s">
        <v>83</v>
      </c>
      <c r="C251" s="23">
        <v>2</v>
      </c>
      <c r="D251" s="23">
        <v>3029300</v>
      </c>
      <c r="E251" s="23">
        <v>1</v>
      </c>
      <c r="F251" s="23">
        <v>0.55600000000000005</v>
      </c>
      <c r="G251" s="23" t="s">
        <v>89</v>
      </c>
      <c r="H251" s="23">
        <v>597</v>
      </c>
      <c r="I251" s="23" t="s">
        <v>85</v>
      </c>
      <c r="J251" s="23">
        <v>931</v>
      </c>
      <c r="K251" s="23" t="s">
        <v>591</v>
      </c>
      <c r="L251" s="23" t="s">
        <v>586</v>
      </c>
      <c r="M251" s="23"/>
      <c r="N251" s="23"/>
      <c r="O251" s="23"/>
      <c r="P251" s="23"/>
      <c r="Q251" s="23"/>
      <c r="R251" s="23"/>
      <c r="S251" s="23" t="s">
        <v>64</v>
      </c>
      <c r="T251" s="23"/>
      <c r="U251" s="23" t="s">
        <v>87</v>
      </c>
      <c r="V251" s="23"/>
      <c r="W251" s="33">
        <v>0</v>
      </c>
      <c r="Y251" t="s">
        <v>161</v>
      </c>
      <c r="Z251" t="s">
        <v>53</v>
      </c>
      <c r="AA251" t="s">
        <v>51</v>
      </c>
      <c r="AB251" t="s">
        <v>439</v>
      </c>
      <c r="AC251" t="s">
        <v>1420</v>
      </c>
      <c r="AF251" t="s">
        <v>1437</v>
      </c>
      <c r="AG251" t="s">
        <v>58</v>
      </c>
      <c r="AI251" t="str">
        <f t="shared" si="23"/>
        <v>2_oc_SL41045201_p2_1st__2050_</v>
      </c>
      <c r="AM251" t="s">
        <v>1673</v>
      </c>
      <c r="AZ251" s="64" t="s">
        <v>1537</v>
      </c>
      <c r="BA251" s="64" t="s">
        <v>1538</v>
      </c>
      <c r="BX251" t="s">
        <v>1691</v>
      </c>
      <c r="BY251">
        <v>2</v>
      </c>
      <c r="BZ251" t="s">
        <v>1742</v>
      </c>
      <c r="CA251" t="s">
        <v>1743</v>
      </c>
      <c r="CB251" t="s">
        <v>1897</v>
      </c>
      <c r="CG251">
        <v>2</v>
      </c>
      <c r="CH251" t="s">
        <v>1897</v>
      </c>
      <c r="CI251" t="s">
        <v>586</v>
      </c>
      <c r="CJ251" t="s">
        <v>1901</v>
      </c>
      <c r="CK251" t="s">
        <v>1902</v>
      </c>
      <c r="CL251" t="s">
        <v>1903</v>
      </c>
      <c r="CM251">
        <v>9184</v>
      </c>
      <c r="CR251" t="s">
        <v>1991</v>
      </c>
    </row>
    <row r="252" spans="1:96" hidden="1">
      <c r="A252" s="32" t="s">
        <v>592</v>
      </c>
      <c r="B252" s="32" t="s">
        <v>83</v>
      </c>
      <c r="C252" s="23">
        <v>3</v>
      </c>
      <c r="D252" s="23">
        <v>3741200</v>
      </c>
      <c r="E252" s="23">
        <v>2</v>
      </c>
      <c r="F252" s="23">
        <v>2E-3</v>
      </c>
      <c r="G252" s="23" t="s">
        <v>89</v>
      </c>
      <c r="H252" s="23">
        <v>30</v>
      </c>
      <c r="I252" s="23" t="s">
        <v>85</v>
      </c>
      <c r="J252" s="23">
        <v>35</v>
      </c>
      <c r="K252" s="23" t="s">
        <v>593</v>
      </c>
      <c r="L252" s="23" t="s">
        <v>586</v>
      </c>
      <c r="M252" s="23"/>
      <c r="N252" s="23"/>
      <c r="O252" s="23"/>
      <c r="P252" s="23"/>
      <c r="Q252" s="23"/>
      <c r="R252" s="23"/>
      <c r="S252" s="23" t="s">
        <v>64</v>
      </c>
      <c r="T252" s="23"/>
      <c r="U252" s="23" t="s">
        <v>87</v>
      </c>
      <c r="V252" s="23"/>
      <c r="W252" s="33">
        <v>0</v>
      </c>
      <c r="Y252" t="s">
        <v>161</v>
      </c>
      <c r="Z252" t="s">
        <v>53</v>
      </c>
      <c r="AA252" t="s">
        <v>51</v>
      </c>
      <c r="AB252" t="s">
        <v>439</v>
      </c>
      <c r="AC252" t="s">
        <v>1420</v>
      </c>
      <c r="AF252" t="s">
        <v>1437</v>
      </c>
      <c r="AG252" t="s">
        <v>58</v>
      </c>
      <c r="AI252" t="str">
        <f t="shared" si="23"/>
        <v>20_S235_SL41045201_p3_2st__2050_</v>
      </c>
      <c r="AM252" t="s">
        <v>1673</v>
      </c>
      <c r="AZ252" s="64" t="s">
        <v>1539</v>
      </c>
      <c r="BA252" s="64" t="s">
        <v>1540</v>
      </c>
      <c r="BX252" t="s">
        <v>1691</v>
      </c>
      <c r="BY252">
        <v>20</v>
      </c>
      <c r="BZ252" t="s">
        <v>1692</v>
      </c>
      <c r="CA252" t="s">
        <v>1693</v>
      </c>
      <c r="CB252" t="s">
        <v>1895</v>
      </c>
      <c r="CG252">
        <v>20</v>
      </c>
      <c r="CH252" t="s">
        <v>1895</v>
      </c>
      <c r="CI252" t="s">
        <v>586</v>
      </c>
      <c r="CJ252" t="s">
        <v>1904</v>
      </c>
      <c r="CK252" t="s">
        <v>1899</v>
      </c>
      <c r="CL252" t="s">
        <v>1921</v>
      </c>
      <c r="CM252">
        <v>9184</v>
      </c>
      <c r="CR252" t="s">
        <v>1992</v>
      </c>
    </row>
    <row r="253" spans="1:96" hidden="1">
      <c r="A253" s="32" t="s">
        <v>594</v>
      </c>
      <c r="B253" s="32" t="s">
        <v>83</v>
      </c>
      <c r="C253" s="23">
        <v>4</v>
      </c>
      <c r="D253" s="23">
        <v>3670100</v>
      </c>
      <c r="E253" s="23">
        <v>2</v>
      </c>
      <c r="F253" s="23">
        <v>6.0000000000000001E-3</v>
      </c>
      <c r="G253" s="23" t="s">
        <v>89</v>
      </c>
      <c r="H253" s="23">
        <v>40</v>
      </c>
      <c r="I253" s="23" t="s">
        <v>85</v>
      </c>
      <c r="J253" s="23">
        <v>70</v>
      </c>
      <c r="K253" s="23" t="s">
        <v>188</v>
      </c>
      <c r="L253" s="23" t="s">
        <v>586</v>
      </c>
      <c r="M253" s="23"/>
      <c r="N253" s="23"/>
      <c r="O253" s="23"/>
      <c r="P253" s="23"/>
      <c r="Q253" s="23"/>
      <c r="R253" s="23"/>
      <c r="S253" s="23" t="s">
        <v>64</v>
      </c>
      <c r="T253" s="23"/>
      <c r="U253" s="23" t="s">
        <v>87</v>
      </c>
      <c r="V253" s="23"/>
      <c r="W253" s="33">
        <v>0</v>
      </c>
      <c r="Y253" t="s">
        <v>161</v>
      </c>
      <c r="Z253" t="s">
        <v>53</v>
      </c>
      <c r="AA253" t="s">
        <v>51</v>
      </c>
      <c r="AB253" t="s">
        <v>439</v>
      </c>
      <c r="AC253" t="s">
        <v>1420</v>
      </c>
      <c r="AF253" t="s">
        <v>1437</v>
      </c>
      <c r="AG253" t="s">
        <v>58</v>
      </c>
      <c r="AI253" t="str">
        <f t="shared" si="23"/>
        <v>5_S235_SL41045201_p4_2st__2050_</v>
      </c>
      <c r="AM253" t="s">
        <v>1673</v>
      </c>
      <c r="AZ253" s="64" t="s">
        <v>1541</v>
      </c>
      <c r="BA253" s="64" t="s">
        <v>1542</v>
      </c>
      <c r="BX253" t="s">
        <v>1691</v>
      </c>
      <c r="BY253">
        <v>5</v>
      </c>
      <c r="BZ253" t="s">
        <v>1692</v>
      </c>
      <c r="CA253" t="s">
        <v>1693</v>
      </c>
      <c r="CB253" t="s">
        <v>1895</v>
      </c>
      <c r="CG253">
        <v>5</v>
      </c>
      <c r="CH253" t="s">
        <v>1895</v>
      </c>
      <c r="CI253" t="s">
        <v>586</v>
      </c>
      <c r="CJ253" t="s">
        <v>1911</v>
      </c>
      <c r="CK253" t="s">
        <v>1899</v>
      </c>
      <c r="CL253" t="s">
        <v>19</v>
      </c>
      <c r="CM253">
        <v>9184</v>
      </c>
      <c r="CR253" t="s">
        <v>1993</v>
      </c>
    </row>
    <row r="254" spans="1:96" hidden="1">
      <c r="A254" s="32" t="s">
        <v>595</v>
      </c>
      <c r="B254" s="32" t="s">
        <v>83</v>
      </c>
      <c r="C254" s="23">
        <v>5</v>
      </c>
      <c r="D254" s="23">
        <v>3779400</v>
      </c>
      <c r="E254" s="23">
        <v>2</v>
      </c>
      <c r="F254" s="23">
        <v>150</v>
      </c>
      <c r="G254" s="23" t="s">
        <v>85</v>
      </c>
      <c r="H254" s="23">
        <v>75</v>
      </c>
      <c r="I254" s="23" t="s">
        <v>85</v>
      </c>
      <c r="J254" s="23">
        <v>0</v>
      </c>
      <c r="K254" s="23" t="s">
        <v>596</v>
      </c>
      <c r="L254" s="23" t="s">
        <v>586</v>
      </c>
      <c r="M254" s="23"/>
      <c r="N254" s="23"/>
      <c r="O254" s="23"/>
      <c r="P254" s="23"/>
      <c r="Q254" s="23"/>
      <c r="R254" s="23"/>
      <c r="S254" s="23" t="s">
        <v>64</v>
      </c>
      <c r="T254" s="23"/>
      <c r="U254" s="23" t="s">
        <v>87</v>
      </c>
      <c r="V254" s="23"/>
      <c r="W254" s="33">
        <v>0</v>
      </c>
      <c r="Y254" t="s">
        <v>365</v>
      </c>
      <c r="Z254" t="s">
        <v>53</v>
      </c>
      <c r="AA254" t="s">
        <v>51</v>
      </c>
      <c r="AB254" t="s">
        <v>439</v>
      </c>
      <c r="AC254" t="s">
        <v>1420</v>
      </c>
      <c r="AF254" t="s">
        <v>1437</v>
      </c>
      <c r="AG254" t="s">
        <v>58</v>
      </c>
      <c r="BX254" t="s">
        <v>1695</v>
      </c>
      <c r="BY254">
        <v>30</v>
      </c>
      <c r="BZ254" t="s">
        <v>1696</v>
      </c>
      <c r="CA254" t="s">
        <v>1704</v>
      </c>
      <c r="CB254" t="s">
        <v>1794</v>
      </c>
    </row>
    <row r="255" spans="1:96" hidden="1">
      <c r="A255" s="32" t="s">
        <v>597</v>
      </c>
      <c r="B255" s="32" t="s">
        <v>83</v>
      </c>
      <c r="C255" s="23">
        <v>6</v>
      </c>
      <c r="D255" s="23">
        <v>155000</v>
      </c>
      <c r="E255" s="23">
        <v>1</v>
      </c>
      <c r="F255" s="23">
        <v>1.2999999999999999E-2</v>
      </c>
      <c r="G255" s="23" t="s">
        <v>89</v>
      </c>
      <c r="H255" s="23">
        <v>75</v>
      </c>
      <c r="I255" s="23" t="s">
        <v>85</v>
      </c>
      <c r="J255" s="23">
        <v>175</v>
      </c>
      <c r="K255" s="23" t="s">
        <v>209</v>
      </c>
      <c r="L255" s="23" t="s">
        <v>586</v>
      </c>
      <c r="M255" s="23"/>
      <c r="N255" s="23"/>
      <c r="O255" s="23"/>
      <c r="P255" s="23"/>
      <c r="Q255" s="23"/>
      <c r="R255" s="23"/>
      <c r="S255" s="23" t="s">
        <v>64</v>
      </c>
      <c r="T255" s="23"/>
      <c r="U255" s="23" t="s">
        <v>87</v>
      </c>
      <c r="V255" s="23"/>
      <c r="W255" s="33">
        <v>0</v>
      </c>
      <c r="Y255" t="s">
        <v>161</v>
      </c>
      <c r="Z255" t="s">
        <v>53</v>
      </c>
      <c r="AA255" t="s">
        <v>51</v>
      </c>
      <c r="AB255" t="s">
        <v>439</v>
      </c>
      <c r="AC255" t="s">
        <v>1420</v>
      </c>
      <c r="AF255" t="s">
        <v>1437</v>
      </c>
      <c r="AG255" t="s">
        <v>58</v>
      </c>
      <c r="AI255" t="str">
        <f t="shared" ref="AI255:AI256" si="24">BY255&amp;"_"&amp;CB255&amp;"_"&amp;L255&amp;"_p"&amp;C255&amp;"_"&amp;E255&amp;"st_"&amp;AK255&amp;"_"&amp;RIGHT(AG255,4)&amp;"_"&amp;AL255</f>
        <v>3_S235_SL41045201_p6_1st__2050_</v>
      </c>
      <c r="AM255" t="s">
        <v>1673</v>
      </c>
      <c r="AZ255" s="64" t="s">
        <v>1543</v>
      </c>
      <c r="BA255" s="64" t="s">
        <v>1544</v>
      </c>
      <c r="BX255" t="s">
        <v>1691</v>
      </c>
      <c r="BY255">
        <v>3</v>
      </c>
      <c r="BZ255" t="s">
        <v>1692</v>
      </c>
      <c r="CA255" t="s">
        <v>1736</v>
      </c>
      <c r="CB255" t="s">
        <v>1895</v>
      </c>
      <c r="CG255">
        <v>3</v>
      </c>
      <c r="CH255" t="s">
        <v>1895</v>
      </c>
      <c r="CI255" t="s">
        <v>586</v>
      </c>
      <c r="CJ255" t="s">
        <v>1912</v>
      </c>
      <c r="CK255" t="s">
        <v>1902</v>
      </c>
      <c r="CL255" t="s">
        <v>1903</v>
      </c>
      <c r="CM255">
        <v>9184</v>
      </c>
      <c r="CR255" t="s">
        <v>1994</v>
      </c>
    </row>
    <row r="256" spans="1:96" hidden="1">
      <c r="A256" s="32" t="s">
        <v>598</v>
      </c>
      <c r="B256" s="32" t="s">
        <v>83</v>
      </c>
      <c r="C256" s="23">
        <v>7</v>
      </c>
      <c r="D256" s="23">
        <v>155000</v>
      </c>
      <c r="E256" s="23">
        <v>1</v>
      </c>
      <c r="F256" s="23">
        <v>1.2999999999999999E-2</v>
      </c>
      <c r="G256" s="23" t="s">
        <v>89</v>
      </c>
      <c r="H256" s="23">
        <v>75</v>
      </c>
      <c r="I256" s="23" t="s">
        <v>85</v>
      </c>
      <c r="J256" s="23">
        <v>175</v>
      </c>
      <c r="K256" s="23" t="s">
        <v>209</v>
      </c>
      <c r="L256" s="23" t="s">
        <v>586</v>
      </c>
      <c r="M256" s="23"/>
      <c r="N256" s="23"/>
      <c r="O256" s="23"/>
      <c r="P256" s="23"/>
      <c r="Q256" s="23"/>
      <c r="R256" s="23"/>
      <c r="S256" s="23" t="s">
        <v>64</v>
      </c>
      <c r="T256" s="23"/>
      <c r="U256" s="23" t="s">
        <v>87</v>
      </c>
      <c r="V256" s="23"/>
      <c r="W256" s="33">
        <v>0</v>
      </c>
      <c r="Y256" t="s">
        <v>161</v>
      </c>
      <c r="Z256" t="s">
        <v>53</v>
      </c>
      <c r="AA256" t="s">
        <v>51</v>
      </c>
      <c r="AB256" t="s">
        <v>439</v>
      </c>
      <c r="AC256" t="s">
        <v>1420</v>
      </c>
      <c r="AF256" t="s">
        <v>1437</v>
      </c>
      <c r="AG256" t="s">
        <v>58</v>
      </c>
      <c r="AI256" t="str">
        <f t="shared" si="24"/>
        <v>3_S235_SL41045201_p7_1st__2050_</v>
      </c>
      <c r="AM256" t="s">
        <v>1673</v>
      </c>
      <c r="AZ256" s="64" t="s">
        <v>1545</v>
      </c>
      <c r="BA256" s="64" t="s">
        <v>1546</v>
      </c>
      <c r="BX256" t="s">
        <v>1691</v>
      </c>
      <c r="BY256">
        <v>3</v>
      </c>
      <c r="BZ256" t="s">
        <v>1692</v>
      </c>
      <c r="CA256" t="s">
        <v>1736</v>
      </c>
      <c r="CB256" t="s">
        <v>1895</v>
      </c>
      <c r="CG256">
        <v>3</v>
      </c>
      <c r="CH256" t="s">
        <v>1895</v>
      </c>
      <c r="CI256" t="s">
        <v>586</v>
      </c>
      <c r="CJ256" t="s">
        <v>1906</v>
      </c>
      <c r="CK256" t="s">
        <v>1902</v>
      </c>
      <c r="CL256" t="s">
        <v>1903</v>
      </c>
      <c r="CM256">
        <v>9184</v>
      </c>
      <c r="CR256" t="s">
        <v>1995</v>
      </c>
    </row>
    <row r="257" spans="1:98" hidden="1">
      <c r="A257" s="29" t="s">
        <v>599</v>
      </c>
      <c r="B257" s="29" t="s">
        <v>79</v>
      </c>
      <c r="C257" s="30">
        <v>2</v>
      </c>
      <c r="D257" s="30" t="s">
        <v>600</v>
      </c>
      <c r="E257" s="30">
        <v>1</v>
      </c>
      <c r="F257" s="30"/>
      <c r="G257" s="30" t="s">
        <v>52</v>
      </c>
      <c r="H257" s="30"/>
      <c r="I257" s="30"/>
      <c r="J257" s="30"/>
      <c r="K257" s="30" t="s">
        <v>601</v>
      </c>
      <c r="L257" s="30" t="s">
        <v>600</v>
      </c>
      <c r="M257" s="30">
        <v>3</v>
      </c>
      <c r="N257" s="30"/>
      <c r="O257" s="23"/>
      <c r="P257" s="23"/>
      <c r="Q257" s="23"/>
      <c r="R257" s="23"/>
      <c r="S257" s="23" t="s">
        <v>64</v>
      </c>
      <c r="T257" s="23"/>
      <c r="U257" s="23" t="s">
        <v>54</v>
      </c>
      <c r="V257" s="23"/>
      <c r="W257" s="31">
        <v>0.7</v>
      </c>
      <c r="Y257" s="59" t="s">
        <v>40</v>
      </c>
      <c r="Z257" t="s">
        <v>53</v>
      </c>
      <c r="AA257" t="s">
        <v>51</v>
      </c>
      <c r="AB257" t="s">
        <v>439</v>
      </c>
      <c r="AC257" t="s">
        <v>1420</v>
      </c>
      <c r="AF257" t="s">
        <v>1437</v>
      </c>
      <c r="AG257" t="s">
        <v>58</v>
      </c>
      <c r="BX257" t="s">
        <v>601</v>
      </c>
    </row>
    <row r="258" spans="1:98" hidden="1">
      <c r="A258" s="32" t="s">
        <v>602</v>
      </c>
      <c r="B258" s="32" t="s">
        <v>83</v>
      </c>
      <c r="C258" s="23">
        <v>1</v>
      </c>
      <c r="D258" s="23" t="s">
        <v>603</v>
      </c>
      <c r="E258" s="23">
        <v>1</v>
      </c>
      <c r="F258" s="23">
        <v>1.202</v>
      </c>
      <c r="G258" s="23" t="s">
        <v>408</v>
      </c>
      <c r="H258" s="23" t="s">
        <v>604</v>
      </c>
      <c r="I258" s="23" t="s">
        <v>85</v>
      </c>
      <c r="J258" s="23">
        <v>0</v>
      </c>
      <c r="K258" s="23" t="s">
        <v>605</v>
      </c>
      <c r="L258" s="23" t="s">
        <v>600</v>
      </c>
      <c r="M258" s="23"/>
      <c r="N258" s="23"/>
      <c r="O258" s="23"/>
      <c r="P258" s="23"/>
      <c r="Q258" s="23"/>
      <c r="R258" s="23"/>
      <c r="S258" s="23" t="s">
        <v>64</v>
      </c>
      <c r="T258" s="23"/>
      <c r="U258" s="23" t="s">
        <v>17</v>
      </c>
      <c r="V258" s="23"/>
      <c r="W258" s="33">
        <v>0.55000000000000004</v>
      </c>
      <c r="Y258" t="s">
        <v>259</v>
      </c>
      <c r="Z258" t="s">
        <v>53</v>
      </c>
      <c r="AA258" t="s">
        <v>51</v>
      </c>
      <c r="AB258" t="s">
        <v>439</v>
      </c>
      <c r="AC258" t="s">
        <v>1420</v>
      </c>
      <c r="AF258" t="s">
        <v>1437</v>
      </c>
      <c r="AG258" t="s">
        <v>58</v>
      </c>
      <c r="BX258" t="s">
        <v>1795</v>
      </c>
      <c r="BY258" t="s">
        <v>1796</v>
      </c>
    </row>
    <row r="259" spans="1:98" hidden="1">
      <c r="A259" s="29" t="s">
        <v>606</v>
      </c>
      <c r="B259" s="29" t="s">
        <v>79</v>
      </c>
      <c r="C259" s="30">
        <v>3</v>
      </c>
      <c r="D259" s="30" t="s">
        <v>607</v>
      </c>
      <c r="E259" s="30">
        <v>2</v>
      </c>
      <c r="F259" s="30"/>
      <c r="G259" s="30" t="s">
        <v>52</v>
      </c>
      <c r="H259" s="30"/>
      <c r="I259" s="30"/>
      <c r="J259" s="30"/>
      <c r="K259" s="30" t="s">
        <v>608</v>
      </c>
      <c r="L259" s="30" t="s">
        <v>607</v>
      </c>
      <c r="M259" s="30">
        <v>2</v>
      </c>
      <c r="N259" s="30"/>
      <c r="O259" s="23"/>
      <c r="P259" s="23"/>
      <c r="Q259" s="23"/>
      <c r="R259" s="23"/>
      <c r="S259" s="23" t="s">
        <v>64</v>
      </c>
      <c r="T259" s="23"/>
      <c r="U259" s="23" t="s">
        <v>54</v>
      </c>
      <c r="V259" s="23"/>
      <c r="W259" s="31">
        <v>0.63</v>
      </c>
      <c r="Y259" t="s">
        <v>40</v>
      </c>
      <c r="Z259" t="s">
        <v>53</v>
      </c>
      <c r="AA259" t="s">
        <v>51</v>
      </c>
      <c r="AB259" t="s">
        <v>439</v>
      </c>
      <c r="AF259" t="s">
        <v>1437</v>
      </c>
      <c r="AG259" t="s">
        <v>58</v>
      </c>
      <c r="BX259" t="s">
        <v>608</v>
      </c>
    </row>
    <row r="260" spans="1:98" s="79" customFormat="1">
      <c r="A260" s="80" t="s">
        <v>609</v>
      </c>
      <c r="B260" s="80" t="s">
        <v>83</v>
      </c>
      <c r="C260" s="81">
        <v>1</v>
      </c>
      <c r="D260" s="81">
        <v>2816800</v>
      </c>
      <c r="E260" s="81">
        <v>2</v>
      </c>
      <c r="F260" s="81">
        <v>5.3999999999999999E-2</v>
      </c>
      <c r="G260" s="81" t="s">
        <v>89</v>
      </c>
      <c r="H260" s="81">
        <v>49</v>
      </c>
      <c r="I260" s="81" t="s">
        <v>85</v>
      </c>
      <c r="J260" s="81">
        <v>550</v>
      </c>
      <c r="K260" s="81" t="s">
        <v>246</v>
      </c>
      <c r="L260" s="81" t="s">
        <v>607</v>
      </c>
      <c r="M260" s="81"/>
      <c r="N260" s="81"/>
      <c r="O260" s="23"/>
      <c r="P260" s="23"/>
      <c r="Q260" s="23"/>
      <c r="R260" s="23"/>
      <c r="S260" s="23" t="s">
        <v>64</v>
      </c>
      <c r="T260" s="23"/>
      <c r="U260" s="23" t="s">
        <v>87</v>
      </c>
      <c r="V260" s="23"/>
      <c r="W260" s="82">
        <v>0</v>
      </c>
      <c r="Y260" s="79" t="s">
        <v>161</v>
      </c>
      <c r="Z260" s="79" t="s">
        <v>53</v>
      </c>
      <c r="AA260" s="79" t="s">
        <v>51</v>
      </c>
      <c r="AB260" s="79" t="s">
        <v>439</v>
      </c>
      <c r="AF260" s="79" t="s">
        <v>1437</v>
      </c>
      <c r="AG260" s="79" t="s">
        <v>58</v>
      </c>
      <c r="AI260" s="79" t="str">
        <f>BY260&amp;"_"&amp;CB260&amp;"_"&amp;L260&amp;"_p"&amp;C260&amp;"_"&amp;E260&amp;"st_"&amp;AK260&amp;"_"&amp;RIGHT(AG260,4)&amp;"_"&amp;AL260</f>
        <v>3_oc_SL41045203_p1_2st_G_2050_</v>
      </c>
      <c r="AK260" s="79" t="s">
        <v>1900</v>
      </c>
      <c r="AM260" s="79" t="s">
        <v>1675</v>
      </c>
      <c r="AO260"/>
      <c r="AP260"/>
      <c r="AQ260"/>
      <c r="AR260"/>
      <c r="AS260"/>
      <c r="AT260"/>
      <c r="AU260"/>
      <c r="AV260"/>
      <c r="AW260"/>
      <c r="AX260"/>
      <c r="AY260"/>
      <c r="AZ260" s="83" t="s">
        <v>1547</v>
      </c>
      <c r="BA260" s="83" t="s">
        <v>1548</v>
      </c>
      <c r="BX260" s="79" t="s">
        <v>1691</v>
      </c>
      <c r="BY260" s="79">
        <v>3</v>
      </c>
      <c r="BZ260" s="79" t="s">
        <v>1742</v>
      </c>
      <c r="CA260" s="79" t="s">
        <v>1743</v>
      </c>
      <c r="CB260" s="79" t="s">
        <v>1897</v>
      </c>
      <c r="CG260" s="79">
        <v>3</v>
      </c>
      <c r="CH260" s="79" t="s">
        <v>1897</v>
      </c>
      <c r="CI260" s="79" t="s">
        <v>607</v>
      </c>
      <c r="CJ260" s="79" t="s">
        <v>1898</v>
      </c>
      <c r="CK260" s="79" t="s">
        <v>1899</v>
      </c>
      <c r="CL260" s="79" t="s">
        <v>1900</v>
      </c>
      <c r="CM260" s="79">
        <v>9184</v>
      </c>
      <c r="CR260" s="79" t="s">
        <v>1996</v>
      </c>
      <c r="CT260" s="79" t="s">
        <v>1900</v>
      </c>
    </row>
    <row r="261" spans="1:98" hidden="1">
      <c r="A261" s="29" t="s">
        <v>610</v>
      </c>
      <c r="B261" s="29" t="s">
        <v>79</v>
      </c>
      <c r="C261" s="30">
        <v>4</v>
      </c>
      <c r="D261" s="30" t="s">
        <v>611</v>
      </c>
      <c r="E261" s="30">
        <v>1</v>
      </c>
      <c r="F261" s="30"/>
      <c r="G261" s="30" t="s">
        <v>52</v>
      </c>
      <c r="H261" s="30"/>
      <c r="I261" s="30"/>
      <c r="J261" s="30"/>
      <c r="K261" s="30" t="s">
        <v>612</v>
      </c>
      <c r="L261" s="30" t="s">
        <v>611</v>
      </c>
      <c r="M261" s="30">
        <v>3</v>
      </c>
      <c r="N261" s="30"/>
      <c r="O261" s="23"/>
      <c r="P261" s="23"/>
      <c r="Q261" s="23"/>
      <c r="R261" s="23"/>
      <c r="S261" s="23" t="s">
        <v>64</v>
      </c>
      <c r="T261" s="23"/>
      <c r="U261" s="23" t="s">
        <v>54</v>
      </c>
      <c r="V261" s="23"/>
      <c r="W261" s="31">
        <v>0.7</v>
      </c>
      <c r="Y261" t="s">
        <v>40</v>
      </c>
      <c r="Z261" t="s">
        <v>53</v>
      </c>
      <c r="AA261" t="s">
        <v>51</v>
      </c>
      <c r="AB261" t="s">
        <v>439</v>
      </c>
      <c r="AF261" t="s">
        <v>1437</v>
      </c>
      <c r="AG261" t="s">
        <v>58</v>
      </c>
      <c r="BX261" t="s">
        <v>612</v>
      </c>
    </row>
    <row r="262" spans="1:98" s="79" customFormat="1">
      <c r="A262" s="80" t="s">
        <v>613</v>
      </c>
      <c r="B262" s="80" t="s">
        <v>83</v>
      </c>
      <c r="C262" s="81">
        <v>1</v>
      </c>
      <c r="D262" s="81">
        <v>3670100</v>
      </c>
      <c r="E262" s="81">
        <v>1</v>
      </c>
      <c r="F262" s="81">
        <v>1.6E-2</v>
      </c>
      <c r="G262" s="81" t="s">
        <v>89</v>
      </c>
      <c r="H262" s="81">
        <v>90</v>
      </c>
      <c r="I262" s="81" t="s">
        <v>85</v>
      </c>
      <c r="J262" s="81">
        <v>175</v>
      </c>
      <c r="K262" s="81" t="s">
        <v>188</v>
      </c>
      <c r="L262" s="81" t="s">
        <v>611</v>
      </c>
      <c r="M262" s="81"/>
      <c r="N262" s="81"/>
      <c r="O262" s="23"/>
      <c r="P262" s="23"/>
      <c r="Q262" s="23"/>
      <c r="R262" s="23"/>
      <c r="S262" s="23" t="s">
        <v>64</v>
      </c>
      <c r="T262" s="23"/>
      <c r="U262" s="23" t="s">
        <v>87</v>
      </c>
      <c r="V262" s="23"/>
      <c r="W262" s="82">
        <v>0</v>
      </c>
      <c r="Y262" s="79" t="s">
        <v>161</v>
      </c>
      <c r="Z262" s="79" t="s">
        <v>53</v>
      </c>
      <c r="AA262" s="79" t="s">
        <v>51</v>
      </c>
      <c r="AB262" s="79" t="s">
        <v>439</v>
      </c>
      <c r="AF262" s="79" t="s">
        <v>1437</v>
      </c>
      <c r="AG262" s="79" t="s">
        <v>58</v>
      </c>
      <c r="AI262" s="79" t="str">
        <f t="shared" ref="AI262:AI263" si="25">BY262&amp;"_"&amp;CB262&amp;"_"&amp;L262&amp;"_p"&amp;C262&amp;"_"&amp;E262&amp;"st_"&amp;AK262&amp;"_"&amp;RIGHT(AG262,4)&amp;"_"&amp;AL262</f>
        <v>5_S235_SL40045202_p1_1st_GS_2050_</v>
      </c>
      <c r="AK262" s="79" t="s">
        <v>1903</v>
      </c>
      <c r="AM262" s="79" t="s">
        <v>1675</v>
      </c>
      <c r="AO262"/>
      <c r="AP262"/>
      <c r="AQ262"/>
      <c r="AR262"/>
      <c r="AS262"/>
      <c r="AT262"/>
      <c r="AU262"/>
      <c r="AV262"/>
      <c r="AW262"/>
      <c r="AX262"/>
      <c r="AY262"/>
      <c r="AZ262" s="83" t="s">
        <v>1549</v>
      </c>
      <c r="BA262" s="83" t="s">
        <v>1550</v>
      </c>
      <c r="BX262" s="79" t="s">
        <v>1691</v>
      </c>
      <c r="BY262" s="79">
        <v>5</v>
      </c>
      <c r="BZ262" s="79" t="s">
        <v>1692</v>
      </c>
      <c r="CA262" s="79" t="s">
        <v>1693</v>
      </c>
      <c r="CB262" s="79" t="s">
        <v>1895</v>
      </c>
      <c r="CG262" s="79">
        <v>5</v>
      </c>
      <c r="CH262" s="79" t="s">
        <v>1895</v>
      </c>
      <c r="CI262" s="79" t="s">
        <v>611</v>
      </c>
      <c r="CJ262" s="79" t="s">
        <v>1898</v>
      </c>
      <c r="CK262" s="79" t="s">
        <v>1902</v>
      </c>
      <c r="CL262" s="79" t="s">
        <v>1903</v>
      </c>
      <c r="CM262" s="79">
        <v>3902</v>
      </c>
      <c r="CN262" s="79">
        <v>8</v>
      </c>
      <c r="CR262" s="79" t="s">
        <v>1997</v>
      </c>
      <c r="CT262" s="79" t="s">
        <v>1903</v>
      </c>
    </row>
    <row r="263" spans="1:98" s="79" customFormat="1">
      <c r="A263" s="80" t="s">
        <v>614</v>
      </c>
      <c r="B263" s="80" t="s">
        <v>83</v>
      </c>
      <c r="C263" s="81">
        <v>2</v>
      </c>
      <c r="D263" s="81">
        <v>2500</v>
      </c>
      <c r="E263" s="81">
        <v>1</v>
      </c>
      <c r="F263" s="81">
        <v>2E-3</v>
      </c>
      <c r="G263" s="81" t="s">
        <v>89</v>
      </c>
      <c r="H263" s="81">
        <v>40</v>
      </c>
      <c r="I263" s="81" t="s">
        <v>85</v>
      </c>
      <c r="J263" s="81">
        <v>45</v>
      </c>
      <c r="K263" s="81" t="s">
        <v>497</v>
      </c>
      <c r="L263" s="81" t="s">
        <v>611</v>
      </c>
      <c r="M263" s="81"/>
      <c r="N263" s="81"/>
      <c r="O263" s="23"/>
      <c r="P263" s="23"/>
      <c r="Q263" s="23"/>
      <c r="R263" s="23"/>
      <c r="S263" s="23" t="s">
        <v>64</v>
      </c>
      <c r="T263" s="23"/>
      <c r="U263" s="23" t="s">
        <v>87</v>
      </c>
      <c r="V263" s="23"/>
      <c r="W263" s="82">
        <v>0</v>
      </c>
      <c r="Y263" s="79" t="s">
        <v>161</v>
      </c>
      <c r="Z263" s="79" t="s">
        <v>53</v>
      </c>
      <c r="AA263" s="79" t="s">
        <v>51</v>
      </c>
      <c r="AB263" s="79" t="s">
        <v>439</v>
      </c>
      <c r="AF263" s="79" t="s">
        <v>1437</v>
      </c>
      <c r="AG263" s="79" t="s">
        <v>58</v>
      </c>
      <c r="AI263" s="79" t="str">
        <f t="shared" si="25"/>
        <v>15_S235_SL40045202_p2_1st_S_2050_</v>
      </c>
      <c r="AK263" s="79" t="s">
        <v>19</v>
      </c>
      <c r="AM263" s="79" t="s">
        <v>1675</v>
      </c>
      <c r="AO263"/>
      <c r="AP263"/>
      <c r="AQ263"/>
      <c r="AR263"/>
      <c r="AS263"/>
      <c r="AT263"/>
      <c r="AU263"/>
      <c r="AV263"/>
      <c r="AW263"/>
      <c r="AX263"/>
      <c r="AY263"/>
      <c r="AZ263" s="83" t="s">
        <v>1551</v>
      </c>
      <c r="BA263" s="83" t="s">
        <v>1552</v>
      </c>
      <c r="BX263" s="79" t="s">
        <v>1691</v>
      </c>
      <c r="BY263" s="79">
        <v>15</v>
      </c>
      <c r="BZ263" s="79" t="s">
        <v>1692</v>
      </c>
      <c r="CA263" s="79" t="s">
        <v>1736</v>
      </c>
      <c r="CB263" s="79" t="s">
        <v>1895</v>
      </c>
      <c r="CG263" s="79">
        <v>15</v>
      </c>
      <c r="CH263" s="79" t="s">
        <v>1895</v>
      </c>
      <c r="CI263" s="79" t="s">
        <v>611</v>
      </c>
      <c r="CJ263" s="79" t="s">
        <v>1901</v>
      </c>
      <c r="CK263" s="79" t="s">
        <v>1902</v>
      </c>
      <c r="CL263" s="79" t="s">
        <v>19</v>
      </c>
      <c r="CM263" s="79">
        <v>3902</v>
      </c>
      <c r="CN263" s="79">
        <v>7</v>
      </c>
      <c r="CR263" s="79" t="s">
        <v>1998</v>
      </c>
      <c r="CT263" s="79" t="s">
        <v>19</v>
      </c>
    </row>
    <row r="264" spans="1:98" hidden="1">
      <c r="A264" s="29" t="s">
        <v>615</v>
      </c>
      <c r="B264" s="29" t="s">
        <v>79</v>
      </c>
      <c r="C264" s="30">
        <v>5</v>
      </c>
      <c r="D264" s="30" t="s">
        <v>616</v>
      </c>
      <c r="E264" s="30">
        <v>1</v>
      </c>
      <c r="F264" s="30"/>
      <c r="G264" s="30" t="s">
        <v>52</v>
      </c>
      <c r="H264" s="30"/>
      <c r="I264" s="30"/>
      <c r="J264" s="30"/>
      <c r="K264" s="30" t="s">
        <v>612</v>
      </c>
      <c r="L264" s="30" t="s">
        <v>611</v>
      </c>
      <c r="M264" s="30">
        <v>3</v>
      </c>
      <c r="N264" s="30"/>
      <c r="O264" s="23"/>
      <c r="P264" s="23"/>
      <c r="Q264" s="23"/>
      <c r="R264" s="23"/>
      <c r="S264" s="23" t="s">
        <v>64</v>
      </c>
      <c r="T264" s="23"/>
      <c r="U264" s="23" t="s">
        <v>54</v>
      </c>
      <c r="V264" s="23"/>
      <c r="W264" s="31">
        <v>0.7</v>
      </c>
      <c r="Y264" t="s">
        <v>40</v>
      </c>
      <c r="Z264" t="s">
        <v>53</v>
      </c>
      <c r="AA264" t="s">
        <v>51</v>
      </c>
      <c r="AB264" t="s">
        <v>439</v>
      </c>
      <c r="AF264" t="s">
        <v>1437</v>
      </c>
      <c r="AG264" t="s">
        <v>58</v>
      </c>
      <c r="BX264" t="s">
        <v>612</v>
      </c>
    </row>
    <row r="265" spans="1:98" s="79" customFormat="1">
      <c r="A265" s="80" t="s">
        <v>617</v>
      </c>
      <c r="B265" s="80" t="s">
        <v>83</v>
      </c>
      <c r="C265" s="81">
        <v>1</v>
      </c>
      <c r="D265" s="81">
        <v>3670100</v>
      </c>
      <c r="E265" s="81">
        <v>1</v>
      </c>
      <c r="F265" s="81">
        <v>1.6E-2</v>
      </c>
      <c r="G265" s="81" t="s">
        <v>89</v>
      </c>
      <c r="H265" s="81">
        <v>90</v>
      </c>
      <c r="I265" s="81" t="s">
        <v>85</v>
      </c>
      <c r="J265" s="81">
        <v>175</v>
      </c>
      <c r="K265" s="81" t="s">
        <v>188</v>
      </c>
      <c r="L265" s="81" t="s">
        <v>611</v>
      </c>
      <c r="M265" s="81"/>
      <c r="N265" s="81"/>
      <c r="O265" s="23"/>
      <c r="P265" s="23"/>
      <c r="Q265" s="23"/>
      <c r="R265" s="23"/>
      <c r="S265" s="23" t="s">
        <v>64</v>
      </c>
      <c r="T265" s="23"/>
      <c r="U265" s="23" t="s">
        <v>87</v>
      </c>
      <c r="V265" s="23"/>
      <c r="W265" s="82">
        <v>0</v>
      </c>
      <c r="Y265" s="79" t="s">
        <v>161</v>
      </c>
      <c r="Z265" s="79" t="s">
        <v>53</v>
      </c>
      <c r="AA265" s="79" t="s">
        <v>51</v>
      </c>
      <c r="AB265" s="79" t="s">
        <v>439</v>
      </c>
      <c r="AF265" s="79" t="s">
        <v>1437</v>
      </c>
      <c r="AG265" s="79" t="s">
        <v>58</v>
      </c>
      <c r="AI265" s="79" t="str">
        <f t="shared" ref="AI265:AI266" si="26">BY265&amp;"_"&amp;CB265&amp;"_"&amp;L265&amp;"_p"&amp;C265&amp;"_"&amp;E265&amp;"st_"&amp;AK265&amp;"_"&amp;RIGHT(AG265,4)&amp;"_"&amp;AL265</f>
        <v>5_S235_SL40045202_p1_1st_GS_2050_1</v>
      </c>
      <c r="AK265" s="79" t="s">
        <v>1903</v>
      </c>
      <c r="AL265" s="79">
        <v>1</v>
      </c>
      <c r="AM265" s="79" t="s">
        <v>1675</v>
      </c>
      <c r="AO265"/>
      <c r="AP265"/>
      <c r="AQ265"/>
      <c r="AR265"/>
      <c r="AS265"/>
      <c r="AT265"/>
      <c r="AU265"/>
      <c r="AV265"/>
      <c r="AW265"/>
      <c r="AX265"/>
      <c r="AY265"/>
      <c r="AZ265" s="83" t="s">
        <v>1549</v>
      </c>
      <c r="BA265" s="83" t="s">
        <v>1550</v>
      </c>
      <c r="BX265" s="79" t="s">
        <v>1691</v>
      </c>
      <c r="BY265" s="79">
        <v>5</v>
      </c>
      <c r="BZ265" s="79" t="s">
        <v>1692</v>
      </c>
      <c r="CA265" s="79" t="s">
        <v>1693</v>
      </c>
      <c r="CB265" s="79" t="s">
        <v>1895</v>
      </c>
      <c r="CG265" s="79">
        <v>5</v>
      </c>
      <c r="CH265" s="79" t="s">
        <v>1895</v>
      </c>
      <c r="CI265" s="79" t="s">
        <v>611</v>
      </c>
      <c r="CJ265" s="79" t="s">
        <v>1898</v>
      </c>
      <c r="CK265" s="79" t="s">
        <v>1902</v>
      </c>
      <c r="CL265" s="79" t="s">
        <v>1903</v>
      </c>
      <c r="CM265" s="79">
        <v>3902</v>
      </c>
      <c r="CN265" s="79">
        <v>8</v>
      </c>
      <c r="CR265" s="79" t="s">
        <v>1997</v>
      </c>
      <c r="CT265" s="79" t="s">
        <v>1903</v>
      </c>
    </row>
    <row r="266" spans="1:98" s="79" customFormat="1">
      <c r="A266" s="80" t="s">
        <v>618</v>
      </c>
      <c r="B266" s="80" t="s">
        <v>83</v>
      </c>
      <c r="C266" s="81">
        <v>2</v>
      </c>
      <c r="D266" s="81">
        <v>2500</v>
      </c>
      <c r="E266" s="81">
        <v>1</v>
      </c>
      <c r="F266" s="81">
        <v>2E-3</v>
      </c>
      <c r="G266" s="81" t="s">
        <v>89</v>
      </c>
      <c r="H266" s="81">
        <v>40</v>
      </c>
      <c r="I266" s="81" t="s">
        <v>85</v>
      </c>
      <c r="J266" s="81">
        <v>45</v>
      </c>
      <c r="K266" s="81" t="s">
        <v>497</v>
      </c>
      <c r="L266" s="81" t="s">
        <v>611</v>
      </c>
      <c r="M266" s="81"/>
      <c r="N266" s="81"/>
      <c r="O266" s="23"/>
      <c r="P266" s="23"/>
      <c r="Q266" s="23"/>
      <c r="R266" s="23"/>
      <c r="S266" s="23" t="s">
        <v>64</v>
      </c>
      <c r="T266" s="23"/>
      <c r="U266" s="23" t="s">
        <v>87</v>
      </c>
      <c r="V266" s="23"/>
      <c r="W266" s="82">
        <v>0</v>
      </c>
      <c r="Y266" s="79" t="s">
        <v>161</v>
      </c>
      <c r="Z266" s="79" t="s">
        <v>53</v>
      </c>
      <c r="AA266" s="79" t="s">
        <v>51</v>
      </c>
      <c r="AB266" s="79" t="s">
        <v>439</v>
      </c>
      <c r="AF266" s="79" t="s">
        <v>1437</v>
      </c>
      <c r="AG266" s="79" t="s">
        <v>58</v>
      </c>
      <c r="AI266" s="79" t="str">
        <f t="shared" si="26"/>
        <v>15_S235_SL40045202_p2_1st_S_2050_1</v>
      </c>
      <c r="AK266" s="79" t="s">
        <v>19</v>
      </c>
      <c r="AL266" s="79">
        <v>1</v>
      </c>
      <c r="AM266" s="79" t="s">
        <v>1675</v>
      </c>
      <c r="AO266"/>
      <c r="AP266"/>
      <c r="AQ266"/>
      <c r="AR266"/>
      <c r="AS266"/>
      <c r="AT266"/>
      <c r="AU266"/>
      <c r="AV266"/>
      <c r="AW266"/>
      <c r="AX266"/>
      <c r="AY266"/>
      <c r="AZ266" s="83" t="s">
        <v>1551</v>
      </c>
      <c r="BA266" s="83" t="s">
        <v>1552</v>
      </c>
      <c r="BX266" s="79" t="s">
        <v>1691</v>
      </c>
      <c r="BY266" s="79">
        <v>15</v>
      </c>
      <c r="BZ266" s="79" t="s">
        <v>1692</v>
      </c>
      <c r="CA266" s="79" t="s">
        <v>1736</v>
      </c>
      <c r="CB266" s="79" t="s">
        <v>1895</v>
      </c>
      <c r="CG266" s="79">
        <v>15</v>
      </c>
      <c r="CH266" s="79" t="s">
        <v>1895</v>
      </c>
      <c r="CI266" s="79" t="s">
        <v>611</v>
      </c>
      <c r="CJ266" s="79" t="s">
        <v>1901</v>
      </c>
      <c r="CK266" s="79" t="s">
        <v>1902</v>
      </c>
      <c r="CL266" s="79" t="s">
        <v>19</v>
      </c>
      <c r="CM266" s="79">
        <v>3902</v>
      </c>
      <c r="CN266" s="79">
        <v>7</v>
      </c>
      <c r="CR266" s="79" t="s">
        <v>1998</v>
      </c>
      <c r="CT266" s="79" t="s">
        <v>19</v>
      </c>
    </row>
    <row r="267" spans="1:98" hidden="1">
      <c r="A267" s="29" t="s">
        <v>619</v>
      </c>
      <c r="B267" s="29" t="s">
        <v>79</v>
      </c>
      <c r="C267" s="30">
        <v>6</v>
      </c>
      <c r="D267" s="30" t="s">
        <v>620</v>
      </c>
      <c r="E267" s="30">
        <v>2</v>
      </c>
      <c r="F267" s="30"/>
      <c r="G267" s="30" t="s">
        <v>52</v>
      </c>
      <c r="H267" s="30"/>
      <c r="I267" s="30"/>
      <c r="J267" s="30"/>
      <c r="K267" s="30" t="s">
        <v>621</v>
      </c>
      <c r="L267" s="30" t="s">
        <v>620</v>
      </c>
      <c r="M267" s="30">
        <v>4</v>
      </c>
      <c r="N267" s="30"/>
      <c r="O267" s="23"/>
      <c r="P267" s="23"/>
      <c r="Q267" s="23"/>
      <c r="R267" s="23"/>
      <c r="S267" s="23" t="s">
        <v>64</v>
      </c>
      <c r="T267" s="23"/>
      <c r="U267" s="23" t="s">
        <v>54</v>
      </c>
      <c r="V267" s="23"/>
      <c r="W267" s="31">
        <v>0.24</v>
      </c>
      <c r="Y267" t="s">
        <v>40</v>
      </c>
      <c r="Z267" t="s">
        <v>53</v>
      </c>
      <c r="AA267" t="s">
        <v>51</v>
      </c>
      <c r="AB267" t="s">
        <v>439</v>
      </c>
      <c r="AC267" t="s">
        <v>1420</v>
      </c>
      <c r="AF267" t="s">
        <v>1437</v>
      </c>
      <c r="AG267" t="s">
        <v>58</v>
      </c>
      <c r="BX267" t="s">
        <v>621</v>
      </c>
    </row>
    <row r="268" spans="1:98" hidden="1">
      <c r="A268" s="32" t="s">
        <v>622</v>
      </c>
      <c r="B268" s="32" t="s">
        <v>83</v>
      </c>
      <c r="C268" s="23">
        <v>1</v>
      </c>
      <c r="D268" s="23">
        <v>3693100</v>
      </c>
      <c r="E268" s="23">
        <v>2</v>
      </c>
      <c r="F268" s="23">
        <v>1.7000000000000001E-2</v>
      </c>
      <c r="G268" s="23" t="s">
        <v>89</v>
      </c>
      <c r="H268" s="23">
        <v>90</v>
      </c>
      <c r="I268" s="23" t="s">
        <v>85</v>
      </c>
      <c r="J268" s="23">
        <v>97</v>
      </c>
      <c r="K268" s="23" t="s">
        <v>623</v>
      </c>
      <c r="L268" s="23" t="s">
        <v>620</v>
      </c>
      <c r="M268" s="23"/>
      <c r="N268" s="23"/>
      <c r="O268" s="23"/>
      <c r="P268" s="23"/>
      <c r="Q268" s="23"/>
      <c r="R268" s="23"/>
      <c r="S268" s="23" t="s">
        <v>64</v>
      </c>
      <c r="T268" s="23"/>
      <c r="U268" s="23" t="s">
        <v>87</v>
      </c>
      <c r="V268" s="23"/>
      <c r="W268" s="33">
        <v>0</v>
      </c>
      <c r="Y268" t="s">
        <v>161</v>
      </c>
      <c r="Z268" t="s">
        <v>53</v>
      </c>
      <c r="AA268" t="s">
        <v>51</v>
      </c>
      <c r="AB268" t="s">
        <v>439</v>
      </c>
      <c r="AC268" t="s">
        <v>1420</v>
      </c>
      <c r="AF268" t="s">
        <v>1437</v>
      </c>
      <c r="AG268" t="s">
        <v>58</v>
      </c>
      <c r="AI268" t="str">
        <f>BY268&amp;"_"&amp;CB268&amp;"_"&amp;L268&amp;"_p"&amp;C268&amp;"_"&amp;E268&amp;"st_"&amp;AK268&amp;"_"&amp;RIGHT(AG268,4)&amp;"_"&amp;AL268</f>
        <v>4_oc_SL40045203_p1_2st__2050_</v>
      </c>
      <c r="AM268" t="s">
        <v>1673</v>
      </c>
      <c r="AZ268" s="64" t="s">
        <v>1553</v>
      </c>
      <c r="BA268" s="64" t="s">
        <v>1554</v>
      </c>
      <c r="BX268" t="s">
        <v>1691</v>
      </c>
      <c r="BY268">
        <v>4</v>
      </c>
      <c r="BZ268" t="s">
        <v>1742</v>
      </c>
      <c r="CA268" t="s">
        <v>1743</v>
      </c>
      <c r="CB268" t="s">
        <v>1897</v>
      </c>
      <c r="CG268">
        <v>4</v>
      </c>
      <c r="CH268" t="s">
        <v>1897</v>
      </c>
      <c r="CI268" t="s">
        <v>620</v>
      </c>
      <c r="CJ268" t="s">
        <v>1898</v>
      </c>
      <c r="CK268" t="s">
        <v>1899</v>
      </c>
      <c r="CL268" t="s">
        <v>1900</v>
      </c>
      <c r="CM268">
        <v>9184</v>
      </c>
      <c r="CR268" t="s">
        <v>1999</v>
      </c>
    </row>
    <row r="269" spans="1:98" hidden="1">
      <c r="A269" s="32" t="s">
        <v>624</v>
      </c>
      <c r="B269" s="32" t="s">
        <v>79</v>
      </c>
      <c r="C269" s="23">
        <v>101</v>
      </c>
      <c r="D269" s="23">
        <v>25312800</v>
      </c>
      <c r="E269" s="23">
        <v>2</v>
      </c>
      <c r="F269" s="23"/>
      <c r="G269" s="23" t="s">
        <v>52</v>
      </c>
      <c r="H269" s="23" t="s">
        <v>625</v>
      </c>
      <c r="I269" s="23"/>
      <c r="J269" s="23"/>
      <c r="K269" s="23" t="s">
        <v>626</v>
      </c>
      <c r="L269" s="23" t="s">
        <v>620</v>
      </c>
      <c r="M269" s="23"/>
      <c r="N269" s="23"/>
      <c r="O269" s="23"/>
      <c r="P269" s="23"/>
      <c r="Q269" s="23"/>
      <c r="R269" s="23"/>
      <c r="S269" s="23" t="s">
        <v>64</v>
      </c>
      <c r="T269" s="23"/>
      <c r="U269" s="23" t="s">
        <v>17</v>
      </c>
      <c r="V269" s="23"/>
      <c r="W269" s="33">
        <v>0.157</v>
      </c>
      <c r="Y269" t="s">
        <v>124</v>
      </c>
      <c r="Z269" t="s">
        <v>53</v>
      </c>
      <c r="AA269" t="s">
        <v>51</v>
      </c>
      <c r="AB269" t="s">
        <v>439</v>
      </c>
      <c r="AF269" t="s">
        <v>1437</v>
      </c>
      <c r="AG269" t="s">
        <v>58</v>
      </c>
      <c r="BX269" t="s">
        <v>1713</v>
      </c>
      <c r="BY269" t="s">
        <v>625</v>
      </c>
      <c r="BZ269" t="s">
        <v>1714</v>
      </c>
      <c r="CA269" s="76">
        <v>46242</v>
      </c>
      <c r="CB269" t="s">
        <v>1740</v>
      </c>
    </row>
    <row r="270" spans="1:98" hidden="1">
      <c r="A270" s="32" t="s">
        <v>627</v>
      </c>
      <c r="B270" s="32" t="s">
        <v>79</v>
      </c>
      <c r="C270" s="23">
        <v>102</v>
      </c>
      <c r="D270" s="23">
        <v>2792900</v>
      </c>
      <c r="E270" s="23">
        <v>2</v>
      </c>
      <c r="F270" s="23"/>
      <c r="G270" s="23" t="s">
        <v>52</v>
      </c>
      <c r="H270" s="23" t="s">
        <v>357</v>
      </c>
      <c r="I270" s="23"/>
      <c r="J270" s="23"/>
      <c r="K270" s="23" t="s">
        <v>390</v>
      </c>
      <c r="L270" s="23" t="s">
        <v>620</v>
      </c>
      <c r="M270" s="23"/>
      <c r="N270" s="23"/>
      <c r="O270" s="23"/>
      <c r="P270" s="23"/>
      <c r="Q270" s="23"/>
      <c r="R270" s="23"/>
      <c r="S270" s="23" t="s">
        <v>64</v>
      </c>
      <c r="T270" s="23"/>
      <c r="U270" s="23" t="s">
        <v>17</v>
      </c>
      <c r="V270" s="23"/>
      <c r="W270" s="33">
        <v>0.02</v>
      </c>
      <c r="Y270" t="s">
        <v>124</v>
      </c>
      <c r="Z270" t="s">
        <v>53</v>
      </c>
      <c r="AA270" t="s">
        <v>51</v>
      </c>
      <c r="AB270" t="s">
        <v>439</v>
      </c>
      <c r="AF270" t="s">
        <v>1437</v>
      </c>
      <c r="AG270" t="s">
        <v>58</v>
      </c>
      <c r="BX270" t="s">
        <v>1717</v>
      </c>
      <c r="BY270" t="s">
        <v>357</v>
      </c>
      <c r="BZ270" t="s">
        <v>1762</v>
      </c>
      <c r="CA270">
        <v>4</v>
      </c>
      <c r="CB270" t="s">
        <v>1740</v>
      </c>
    </row>
    <row r="271" spans="1:98" hidden="1">
      <c r="A271" s="32" t="s">
        <v>628</v>
      </c>
      <c r="B271" s="32" t="s">
        <v>79</v>
      </c>
      <c r="C271" s="23">
        <v>103</v>
      </c>
      <c r="D271" s="23">
        <v>24379100</v>
      </c>
      <c r="E271" s="23">
        <v>8</v>
      </c>
      <c r="F271" s="23"/>
      <c r="G271" s="23" t="s">
        <v>52</v>
      </c>
      <c r="H271" s="23" t="s">
        <v>272</v>
      </c>
      <c r="I271" s="23"/>
      <c r="J271" s="23"/>
      <c r="K271" s="23" t="s">
        <v>273</v>
      </c>
      <c r="L271" s="23" t="s">
        <v>620</v>
      </c>
      <c r="M271" s="23"/>
      <c r="N271" s="23"/>
      <c r="O271" s="23"/>
      <c r="P271" s="23"/>
      <c r="Q271" s="23"/>
      <c r="R271" s="23"/>
      <c r="S271" s="23" t="s">
        <v>64</v>
      </c>
      <c r="T271" s="23"/>
      <c r="U271" s="23" t="s">
        <v>17</v>
      </c>
      <c r="V271" s="23"/>
      <c r="W271" s="33">
        <v>4.1000000000000002E-2</v>
      </c>
      <c r="Y271" t="s">
        <v>124</v>
      </c>
      <c r="Z271" t="s">
        <v>53</v>
      </c>
      <c r="AA271" t="s">
        <v>51</v>
      </c>
      <c r="AB271" t="s">
        <v>439</v>
      </c>
      <c r="AF271" t="s">
        <v>1437</v>
      </c>
      <c r="AG271" t="s">
        <v>58</v>
      </c>
      <c r="BX271" t="s">
        <v>1713</v>
      </c>
      <c r="BY271" t="s">
        <v>272</v>
      </c>
      <c r="BZ271" t="s">
        <v>1714</v>
      </c>
      <c r="CA271" s="76">
        <v>46242</v>
      </c>
      <c r="CB271" t="s">
        <v>1715</v>
      </c>
      <c r="CC271" t="s">
        <v>1716</v>
      </c>
    </row>
    <row r="272" spans="1:98" hidden="1">
      <c r="A272" s="32" t="s">
        <v>629</v>
      </c>
      <c r="B272" s="32" t="s">
        <v>79</v>
      </c>
      <c r="C272" s="23">
        <v>104</v>
      </c>
      <c r="D272" s="23">
        <v>24707900</v>
      </c>
      <c r="E272" s="23">
        <v>8</v>
      </c>
      <c r="F272" s="23"/>
      <c r="G272" s="23" t="s">
        <v>52</v>
      </c>
      <c r="H272" s="23" t="s">
        <v>275</v>
      </c>
      <c r="I272" s="23"/>
      <c r="J272" s="23"/>
      <c r="K272" s="23" t="s">
        <v>276</v>
      </c>
      <c r="L272" s="23" t="s">
        <v>620</v>
      </c>
      <c r="M272" s="23"/>
      <c r="N272" s="23"/>
      <c r="O272" s="23"/>
      <c r="P272" s="23"/>
      <c r="Q272" s="23"/>
      <c r="R272" s="23"/>
      <c r="S272" s="23" t="s">
        <v>64</v>
      </c>
      <c r="T272" s="23"/>
      <c r="U272" s="23" t="s">
        <v>17</v>
      </c>
      <c r="V272" s="23"/>
      <c r="W272" s="33">
        <v>1.7000000000000001E-2</v>
      </c>
      <c r="Y272" t="s">
        <v>124</v>
      </c>
      <c r="Z272" t="s">
        <v>53</v>
      </c>
      <c r="AA272" t="s">
        <v>51</v>
      </c>
      <c r="AB272" t="s">
        <v>439</v>
      </c>
      <c r="AF272" t="s">
        <v>1437</v>
      </c>
      <c r="AG272" t="s">
        <v>58</v>
      </c>
      <c r="BX272" t="s">
        <v>1717</v>
      </c>
      <c r="BY272" t="s">
        <v>275</v>
      </c>
      <c r="BZ272" t="s">
        <v>1718</v>
      </c>
      <c r="CA272">
        <v>8</v>
      </c>
      <c r="CB272" t="s">
        <v>1715</v>
      </c>
      <c r="CC272" t="s">
        <v>1716</v>
      </c>
    </row>
    <row r="273" spans="1:98" hidden="1">
      <c r="A273" s="32" t="s">
        <v>630</v>
      </c>
      <c r="B273" s="32" t="s">
        <v>79</v>
      </c>
      <c r="C273" s="23">
        <v>105</v>
      </c>
      <c r="D273" s="23">
        <v>24484200</v>
      </c>
      <c r="E273" s="23">
        <v>16</v>
      </c>
      <c r="F273" s="23"/>
      <c r="G273" s="23" t="s">
        <v>52</v>
      </c>
      <c r="H273" s="23">
        <v>13</v>
      </c>
      <c r="I273" s="23"/>
      <c r="J273" s="23"/>
      <c r="K273" s="23" t="s">
        <v>278</v>
      </c>
      <c r="L273" s="23" t="s">
        <v>620</v>
      </c>
      <c r="M273" s="23"/>
      <c r="N273" s="23"/>
      <c r="O273" s="23"/>
      <c r="P273" s="23"/>
      <c r="Q273" s="23"/>
      <c r="R273" s="23"/>
      <c r="S273" s="23" t="s">
        <v>64</v>
      </c>
      <c r="T273" s="23"/>
      <c r="U273" s="23" t="s">
        <v>17</v>
      </c>
      <c r="V273" s="23"/>
      <c r="W273" s="33">
        <v>0.01</v>
      </c>
      <c r="Y273" t="s">
        <v>124</v>
      </c>
      <c r="Z273" t="s">
        <v>53</v>
      </c>
      <c r="AA273" t="s">
        <v>51</v>
      </c>
      <c r="AB273" t="s">
        <v>439</v>
      </c>
      <c r="AF273" t="s">
        <v>1437</v>
      </c>
      <c r="AG273" t="s">
        <v>58</v>
      </c>
      <c r="BX273" t="s">
        <v>1719</v>
      </c>
      <c r="BY273">
        <v>13</v>
      </c>
      <c r="BZ273" t="s">
        <v>763</v>
      </c>
      <c r="CA273" t="s">
        <v>1720</v>
      </c>
      <c r="CB273" t="s">
        <v>1721</v>
      </c>
    </row>
    <row r="274" spans="1:98" hidden="1">
      <c r="A274" s="32" t="s">
        <v>631</v>
      </c>
      <c r="B274" s="32" t="s">
        <v>79</v>
      </c>
      <c r="C274" s="23">
        <v>106</v>
      </c>
      <c r="D274" s="23">
        <v>24724300</v>
      </c>
      <c r="E274" s="23">
        <v>6</v>
      </c>
      <c r="F274" s="23"/>
      <c r="G274" s="23" t="s">
        <v>52</v>
      </c>
      <c r="H274" s="23" t="s">
        <v>226</v>
      </c>
      <c r="I274" s="23"/>
      <c r="J274" s="23"/>
      <c r="K274" s="23" t="s">
        <v>227</v>
      </c>
      <c r="L274" s="23" t="s">
        <v>620</v>
      </c>
      <c r="M274" s="23"/>
      <c r="N274" s="23"/>
      <c r="O274" s="23"/>
      <c r="P274" s="23"/>
      <c r="Q274" s="23"/>
      <c r="R274" s="23"/>
      <c r="S274" s="23" t="s">
        <v>64</v>
      </c>
      <c r="T274" s="23"/>
      <c r="U274" s="23" t="s">
        <v>17</v>
      </c>
      <c r="V274" s="23"/>
      <c r="W274" s="33">
        <v>2.5999999999999999E-2</v>
      </c>
      <c r="Y274" t="s">
        <v>124</v>
      </c>
      <c r="Z274" t="s">
        <v>53</v>
      </c>
      <c r="AA274" t="s">
        <v>51</v>
      </c>
      <c r="AB274" t="s">
        <v>439</v>
      </c>
      <c r="AF274" t="s">
        <v>1437</v>
      </c>
      <c r="AG274" t="s">
        <v>58</v>
      </c>
      <c r="BX274" t="s">
        <v>1713</v>
      </c>
      <c r="BY274" t="s">
        <v>1741</v>
      </c>
      <c r="BZ274" t="s">
        <v>1714</v>
      </c>
      <c r="CA274" s="76">
        <v>46242</v>
      </c>
      <c r="CB274" t="s">
        <v>1740</v>
      </c>
    </row>
    <row r="275" spans="1:98" hidden="1">
      <c r="A275" s="32" t="s">
        <v>632</v>
      </c>
      <c r="B275" s="32" t="s">
        <v>79</v>
      </c>
      <c r="C275" s="23">
        <v>107</v>
      </c>
      <c r="D275" s="23">
        <v>24398500</v>
      </c>
      <c r="E275" s="23">
        <v>6</v>
      </c>
      <c r="F275" s="23"/>
      <c r="G275" s="23" t="s">
        <v>52</v>
      </c>
      <c r="H275" s="23" t="s">
        <v>229</v>
      </c>
      <c r="I275" s="23"/>
      <c r="J275" s="23"/>
      <c r="K275" s="23" t="s">
        <v>230</v>
      </c>
      <c r="L275" s="23" t="s">
        <v>620</v>
      </c>
      <c r="M275" s="23"/>
      <c r="N275" s="23"/>
      <c r="O275" s="23"/>
      <c r="P275" s="23"/>
      <c r="Q275" s="23"/>
      <c r="R275" s="23"/>
      <c r="S275" s="23" t="s">
        <v>64</v>
      </c>
      <c r="T275" s="23"/>
      <c r="U275" s="23" t="s">
        <v>17</v>
      </c>
      <c r="V275" s="23"/>
      <c r="W275" s="33">
        <v>7.0000000000000001E-3</v>
      </c>
      <c r="Y275" t="s">
        <v>124</v>
      </c>
      <c r="Z275" t="s">
        <v>53</v>
      </c>
      <c r="AA275" t="s">
        <v>51</v>
      </c>
      <c r="AB275" t="s">
        <v>439</v>
      </c>
      <c r="AF275" t="s">
        <v>1437</v>
      </c>
      <c r="AG275" t="s">
        <v>58</v>
      </c>
      <c r="BX275" t="s">
        <v>1717</v>
      </c>
      <c r="BY275" t="s">
        <v>229</v>
      </c>
      <c r="BZ275" t="s">
        <v>1718</v>
      </c>
      <c r="CA275">
        <v>8</v>
      </c>
      <c r="CB275" t="s">
        <v>1740</v>
      </c>
    </row>
    <row r="276" spans="1:98" hidden="1">
      <c r="A276" s="32" t="s">
        <v>633</v>
      </c>
      <c r="B276" s="32" t="s">
        <v>79</v>
      </c>
      <c r="C276" s="23">
        <v>108</v>
      </c>
      <c r="D276" s="23">
        <v>24389600</v>
      </c>
      <c r="E276" s="23">
        <v>12</v>
      </c>
      <c r="F276" s="23"/>
      <c r="G276" s="23" t="s">
        <v>52</v>
      </c>
      <c r="H276" s="23">
        <v>10.5</v>
      </c>
      <c r="I276" s="23"/>
      <c r="J276" s="23"/>
      <c r="K276" s="23" t="s">
        <v>232</v>
      </c>
      <c r="L276" s="23" t="s">
        <v>620</v>
      </c>
      <c r="M276" s="23"/>
      <c r="N276" s="23"/>
      <c r="O276" s="23"/>
      <c r="P276" s="23"/>
      <c r="Q276" s="23"/>
      <c r="R276" s="23"/>
      <c r="S276" s="23" t="s">
        <v>64</v>
      </c>
      <c r="T276" s="23"/>
      <c r="U276" s="23" t="s">
        <v>17</v>
      </c>
      <c r="V276" s="23"/>
      <c r="W276" s="33">
        <v>4.0000000000000001E-3</v>
      </c>
      <c r="Y276" t="s">
        <v>124</v>
      </c>
      <c r="Z276" t="s">
        <v>53</v>
      </c>
      <c r="AA276" t="s">
        <v>51</v>
      </c>
      <c r="AB276" t="s">
        <v>439</v>
      </c>
      <c r="AF276" t="s">
        <v>1437</v>
      </c>
      <c r="AG276" t="s">
        <v>58</v>
      </c>
      <c r="BX276" t="s">
        <v>1719</v>
      </c>
      <c r="BY276">
        <v>10.5</v>
      </c>
      <c r="BZ276" t="s">
        <v>763</v>
      </c>
      <c r="CA276" t="s">
        <v>1720</v>
      </c>
      <c r="CB276" t="s">
        <v>1721</v>
      </c>
    </row>
    <row r="277" spans="1:98" hidden="1">
      <c r="A277" s="29" t="s">
        <v>634</v>
      </c>
      <c r="B277" s="29" t="s">
        <v>74</v>
      </c>
      <c r="C277" s="30">
        <v>6</v>
      </c>
      <c r="D277" s="30" t="s">
        <v>635</v>
      </c>
      <c r="E277" s="30">
        <v>1</v>
      </c>
      <c r="F277" s="30"/>
      <c r="G277" s="30" t="s">
        <v>52</v>
      </c>
      <c r="H277" s="30"/>
      <c r="I277" s="30"/>
      <c r="J277" s="30"/>
      <c r="K277" s="30" t="s">
        <v>636</v>
      </c>
      <c r="L277" s="30" t="s">
        <v>635</v>
      </c>
      <c r="M277" s="30">
        <v>3</v>
      </c>
      <c r="N277" s="30"/>
      <c r="O277" s="23"/>
      <c r="P277" s="23"/>
      <c r="Q277" s="23"/>
      <c r="R277" s="23"/>
      <c r="S277" s="23" t="s">
        <v>64</v>
      </c>
      <c r="T277" s="23"/>
      <c r="U277" s="23" t="s">
        <v>54</v>
      </c>
      <c r="V277" s="23"/>
      <c r="W277" s="31">
        <v>31.437999999999999</v>
      </c>
      <c r="Y277" t="s">
        <v>40</v>
      </c>
      <c r="Z277" t="s">
        <v>53</v>
      </c>
      <c r="AA277" t="s">
        <v>51</v>
      </c>
      <c r="AB277" t="s">
        <v>439</v>
      </c>
      <c r="AF277" t="s">
        <v>1437</v>
      </c>
      <c r="AG277" t="s">
        <v>58</v>
      </c>
      <c r="BX277" t="s">
        <v>636</v>
      </c>
    </row>
    <row r="278" spans="1:98" hidden="1">
      <c r="A278" s="29" t="s">
        <v>637</v>
      </c>
      <c r="B278" s="29" t="s">
        <v>79</v>
      </c>
      <c r="C278" s="30">
        <v>1</v>
      </c>
      <c r="D278" s="30" t="s">
        <v>638</v>
      </c>
      <c r="E278" s="30">
        <v>1</v>
      </c>
      <c r="F278" s="30"/>
      <c r="G278" s="30" t="s">
        <v>52</v>
      </c>
      <c r="H278" s="30"/>
      <c r="I278" s="30"/>
      <c r="J278" s="30"/>
      <c r="K278" s="30" t="s">
        <v>639</v>
      </c>
      <c r="L278" s="30" t="s">
        <v>638</v>
      </c>
      <c r="M278" s="30">
        <v>3</v>
      </c>
      <c r="N278" s="30"/>
      <c r="O278" s="23"/>
      <c r="P278" s="23"/>
      <c r="Q278" s="23"/>
      <c r="R278" s="23"/>
      <c r="S278" s="23" t="s">
        <v>64</v>
      </c>
      <c r="T278" s="23"/>
      <c r="U278" s="23" t="s">
        <v>54</v>
      </c>
      <c r="V278" s="23"/>
      <c r="W278" s="31">
        <v>12.233000000000001</v>
      </c>
      <c r="Y278" t="s">
        <v>40</v>
      </c>
      <c r="Z278" t="s">
        <v>53</v>
      </c>
      <c r="AA278" t="s">
        <v>51</v>
      </c>
      <c r="AB278" t="s">
        <v>439</v>
      </c>
      <c r="AC278" t="s">
        <v>1420</v>
      </c>
      <c r="AF278" t="s">
        <v>1437</v>
      </c>
      <c r="AG278" t="s">
        <v>58</v>
      </c>
      <c r="BX278" t="s">
        <v>639</v>
      </c>
    </row>
    <row r="279" spans="1:98" hidden="1">
      <c r="A279" s="32" t="s">
        <v>640</v>
      </c>
      <c r="B279" s="32" t="s">
        <v>83</v>
      </c>
      <c r="C279" s="23">
        <v>1</v>
      </c>
      <c r="D279" s="23">
        <v>155000</v>
      </c>
      <c r="E279" s="23">
        <v>1</v>
      </c>
      <c r="F279" s="23">
        <v>0.52</v>
      </c>
      <c r="G279" s="23" t="s">
        <v>89</v>
      </c>
      <c r="H279" s="23" t="s">
        <v>641</v>
      </c>
      <c r="I279" s="23" t="s">
        <v>85</v>
      </c>
      <c r="J279" s="23">
        <v>409</v>
      </c>
      <c r="K279" s="23" t="s">
        <v>209</v>
      </c>
      <c r="L279" s="23" t="s">
        <v>638</v>
      </c>
      <c r="M279" s="23"/>
      <c r="N279" s="23"/>
      <c r="O279" s="23"/>
      <c r="P279" s="23"/>
      <c r="Q279" s="23"/>
      <c r="R279" s="23"/>
      <c r="S279" s="23" t="s">
        <v>64</v>
      </c>
      <c r="T279" s="23"/>
      <c r="U279" s="23" t="s">
        <v>87</v>
      </c>
      <c r="V279" s="23"/>
      <c r="W279" s="33">
        <v>0</v>
      </c>
      <c r="Y279" t="s">
        <v>161</v>
      </c>
      <c r="Z279" t="s">
        <v>53</v>
      </c>
      <c r="AA279" t="s">
        <v>51</v>
      </c>
      <c r="AB279" t="s">
        <v>439</v>
      </c>
      <c r="AC279" t="s">
        <v>1420</v>
      </c>
      <c r="AF279" t="s">
        <v>1437</v>
      </c>
      <c r="AG279" t="s">
        <v>58</v>
      </c>
      <c r="AI279" t="str">
        <f>BY279&amp;"_"&amp;CB279&amp;"_"&amp;L279&amp;"_p"&amp;C279&amp;"_"&amp;E279&amp;"st_"&amp;AK279&amp;"_"&amp;RIGHT(AG279,4)&amp;"_"&amp;AL279</f>
        <v>3_S235_SL41046306_p1_1st__2050_</v>
      </c>
      <c r="AM279" t="s">
        <v>1673</v>
      </c>
      <c r="AZ279" s="64" t="s">
        <v>1555</v>
      </c>
      <c r="BA279" s="64" t="s">
        <v>1556</v>
      </c>
      <c r="BX279" t="s">
        <v>1691</v>
      </c>
      <c r="BY279">
        <v>3</v>
      </c>
      <c r="BZ279" t="s">
        <v>1692</v>
      </c>
      <c r="CA279" t="s">
        <v>1736</v>
      </c>
      <c r="CB279" t="s">
        <v>1895</v>
      </c>
      <c r="CG279">
        <v>3</v>
      </c>
      <c r="CH279" t="s">
        <v>1895</v>
      </c>
      <c r="CI279" t="s">
        <v>638</v>
      </c>
      <c r="CJ279" t="s">
        <v>1898</v>
      </c>
      <c r="CK279" t="s">
        <v>1902</v>
      </c>
      <c r="CL279" t="s">
        <v>1900</v>
      </c>
      <c r="CM279">
        <v>9184</v>
      </c>
      <c r="CR279" t="s">
        <v>2000</v>
      </c>
    </row>
    <row r="280" spans="1:98" hidden="1">
      <c r="A280" s="29" t="s">
        <v>642</v>
      </c>
      <c r="B280" s="29" t="s">
        <v>79</v>
      </c>
      <c r="C280" s="30">
        <v>2</v>
      </c>
      <c r="D280" s="30" t="s">
        <v>643</v>
      </c>
      <c r="E280" s="30">
        <v>1</v>
      </c>
      <c r="F280" s="30"/>
      <c r="G280" s="30" t="s">
        <v>52</v>
      </c>
      <c r="H280" s="30"/>
      <c r="I280" s="30"/>
      <c r="J280" s="30"/>
      <c r="K280" s="30" t="s">
        <v>644</v>
      </c>
      <c r="L280" s="30" t="s">
        <v>643</v>
      </c>
      <c r="M280" s="30">
        <v>3</v>
      </c>
      <c r="N280" s="30"/>
      <c r="O280" s="23"/>
      <c r="P280" s="23"/>
      <c r="Q280" s="23"/>
      <c r="R280" s="23"/>
      <c r="S280" s="23" t="s">
        <v>64</v>
      </c>
      <c r="T280" s="23"/>
      <c r="U280" s="23" t="s">
        <v>54</v>
      </c>
      <c r="V280" s="23"/>
      <c r="W280" s="31">
        <v>11.994</v>
      </c>
      <c r="Y280" t="s">
        <v>40</v>
      </c>
      <c r="Z280" t="s">
        <v>53</v>
      </c>
      <c r="AA280" t="s">
        <v>51</v>
      </c>
      <c r="AB280" t="s">
        <v>439</v>
      </c>
      <c r="AF280" t="s">
        <v>1437</v>
      </c>
      <c r="AG280" t="s">
        <v>58</v>
      </c>
      <c r="BX280" t="s">
        <v>644</v>
      </c>
    </row>
    <row r="281" spans="1:98" s="79" customFormat="1">
      <c r="A281" s="80" t="s">
        <v>645</v>
      </c>
      <c r="B281" s="80" t="s">
        <v>83</v>
      </c>
      <c r="C281" s="81">
        <v>1</v>
      </c>
      <c r="D281" s="81">
        <v>155000</v>
      </c>
      <c r="E281" s="81">
        <v>1</v>
      </c>
      <c r="F281" s="81">
        <v>0.51300000000000001</v>
      </c>
      <c r="G281" s="81" t="s">
        <v>89</v>
      </c>
      <c r="H281" s="81" t="s">
        <v>646</v>
      </c>
      <c r="I281" s="81" t="s">
        <v>85</v>
      </c>
      <c r="J281" s="81">
        <v>400</v>
      </c>
      <c r="K281" s="81" t="s">
        <v>209</v>
      </c>
      <c r="L281" s="81" t="s">
        <v>643</v>
      </c>
      <c r="M281" s="81"/>
      <c r="N281" s="81"/>
      <c r="O281" s="23"/>
      <c r="P281" s="23"/>
      <c r="Q281" s="23"/>
      <c r="R281" s="23"/>
      <c r="S281" s="23" t="s">
        <v>64</v>
      </c>
      <c r="T281" s="23"/>
      <c r="U281" s="23" t="s">
        <v>87</v>
      </c>
      <c r="V281" s="23"/>
      <c r="W281" s="82">
        <v>0</v>
      </c>
      <c r="Y281" s="79" t="s">
        <v>161</v>
      </c>
      <c r="Z281" s="79" t="s">
        <v>53</v>
      </c>
      <c r="AA281" s="79" t="s">
        <v>51</v>
      </c>
      <c r="AB281" s="79" t="s">
        <v>439</v>
      </c>
      <c r="AC281" s="79" t="s">
        <v>1428</v>
      </c>
      <c r="AF281" s="79" t="s">
        <v>1437</v>
      </c>
      <c r="AG281" s="79" t="s">
        <v>58</v>
      </c>
      <c r="AI281" s="79" t="str">
        <f>BY281&amp;"_"&amp;CB281&amp;"_"&amp;L281&amp;"_p"&amp;C281&amp;"_"&amp;E281&amp;"st_"&amp;AK281&amp;"_"&amp;RIGHT(AG281,4)&amp;"_"&amp;AL281</f>
        <v>3_S235_SL41046307_p1_1st_G_2050_</v>
      </c>
      <c r="AK281" s="79" t="s">
        <v>1900</v>
      </c>
      <c r="AM281" s="79" t="s">
        <v>1675</v>
      </c>
      <c r="AO281"/>
      <c r="AP281"/>
      <c r="AQ281"/>
      <c r="AR281"/>
      <c r="AS281"/>
      <c r="AT281"/>
      <c r="AU281"/>
      <c r="AV281"/>
      <c r="AW281"/>
      <c r="AX281"/>
      <c r="AY281"/>
      <c r="AZ281" s="83" t="s">
        <v>1557</v>
      </c>
      <c r="BA281" s="83" t="s">
        <v>1558</v>
      </c>
      <c r="BX281" s="79" t="s">
        <v>1691</v>
      </c>
      <c r="BY281" s="79">
        <v>3</v>
      </c>
      <c r="BZ281" s="79" t="s">
        <v>1692</v>
      </c>
      <c r="CA281" s="79" t="s">
        <v>1736</v>
      </c>
      <c r="CB281" s="79" t="s">
        <v>1895</v>
      </c>
      <c r="CG281" s="79">
        <v>3</v>
      </c>
      <c r="CH281" s="79" t="s">
        <v>1895</v>
      </c>
      <c r="CI281" s="79" t="s">
        <v>643</v>
      </c>
      <c r="CJ281" s="79" t="s">
        <v>1898</v>
      </c>
      <c r="CK281" s="79" t="s">
        <v>1902</v>
      </c>
      <c r="CL281" s="79" t="s">
        <v>1900</v>
      </c>
      <c r="CM281" s="79">
        <v>9184</v>
      </c>
      <c r="CR281" s="79" t="s">
        <v>2001</v>
      </c>
      <c r="CT281" s="79" t="s">
        <v>1900</v>
      </c>
    </row>
    <row r="282" spans="1:98" hidden="1">
      <c r="A282" s="29" t="s">
        <v>647</v>
      </c>
      <c r="B282" s="29" t="s">
        <v>79</v>
      </c>
      <c r="C282" s="30">
        <v>3</v>
      </c>
      <c r="D282" s="30" t="s">
        <v>648</v>
      </c>
      <c r="E282" s="30">
        <v>1</v>
      </c>
      <c r="F282" s="30"/>
      <c r="G282" s="30" t="s">
        <v>52</v>
      </c>
      <c r="H282" s="30"/>
      <c r="I282" s="30"/>
      <c r="J282" s="30"/>
      <c r="K282" s="30" t="s">
        <v>649</v>
      </c>
      <c r="L282" s="30" t="s">
        <v>650</v>
      </c>
      <c r="M282" s="30">
        <v>2</v>
      </c>
      <c r="N282" s="30"/>
      <c r="O282" s="23"/>
      <c r="P282" s="23"/>
      <c r="Q282" s="23"/>
      <c r="R282" s="23"/>
      <c r="S282" s="23" t="s">
        <v>64</v>
      </c>
      <c r="T282" s="23"/>
      <c r="U282" s="23" t="s">
        <v>54</v>
      </c>
      <c r="V282" s="23"/>
      <c r="W282" s="31">
        <v>3.32</v>
      </c>
      <c r="Y282" t="s">
        <v>40</v>
      </c>
      <c r="Z282" t="s">
        <v>53</v>
      </c>
      <c r="AA282" t="s">
        <v>51</v>
      </c>
      <c r="AB282" t="s">
        <v>439</v>
      </c>
      <c r="AC282" t="s">
        <v>1420</v>
      </c>
      <c r="AF282" t="s">
        <v>1437</v>
      </c>
      <c r="AG282" t="s">
        <v>58</v>
      </c>
      <c r="BX282" t="s">
        <v>649</v>
      </c>
    </row>
    <row r="283" spans="1:98" hidden="1">
      <c r="A283" s="32" t="s">
        <v>651</v>
      </c>
      <c r="B283" s="32" t="s">
        <v>83</v>
      </c>
      <c r="C283" s="23">
        <v>2</v>
      </c>
      <c r="D283" s="23">
        <v>2816800</v>
      </c>
      <c r="E283" s="23">
        <v>1</v>
      </c>
      <c r="F283" s="23">
        <v>0.19700000000000001</v>
      </c>
      <c r="G283" s="23" t="s">
        <v>89</v>
      </c>
      <c r="H283" s="23">
        <v>491</v>
      </c>
      <c r="I283" s="23" t="s">
        <v>85</v>
      </c>
      <c r="J283" s="23">
        <v>401</v>
      </c>
      <c r="K283" s="23" t="s">
        <v>246</v>
      </c>
      <c r="L283" s="23" t="s">
        <v>650</v>
      </c>
      <c r="M283" s="23"/>
      <c r="N283" s="23"/>
      <c r="O283" s="23"/>
      <c r="P283" s="23"/>
      <c r="Q283" s="23"/>
      <c r="R283" s="23"/>
      <c r="S283" s="23" t="s">
        <v>64</v>
      </c>
      <c r="T283" s="23"/>
      <c r="U283" s="23" t="s">
        <v>87</v>
      </c>
      <c r="V283" s="23"/>
      <c r="W283" s="33">
        <v>0</v>
      </c>
      <c r="Y283" t="s">
        <v>161</v>
      </c>
      <c r="Z283" t="s">
        <v>53</v>
      </c>
      <c r="AA283" t="s">
        <v>51</v>
      </c>
      <c r="AB283" t="s">
        <v>439</v>
      </c>
      <c r="AC283" t="s">
        <v>1420</v>
      </c>
      <c r="AF283" t="s">
        <v>1437</v>
      </c>
      <c r="AG283" t="s">
        <v>58</v>
      </c>
      <c r="AI283" t="str">
        <f>BY283&amp;"_"&amp;CB283&amp;"_"&amp;L283&amp;"_p"&amp;C283&amp;"_"&amp;E283&amp;"st_"&amp;AK283&amp;"_"&amp;RIGHT(AG283,4)&amp;"_"&amp;AL283</f>
        <v>3_oc_SL40046328_p2_1st__2050_</v>
      </c>
      <c r="AM283" t="s">
        <v>1673</v>
      </c>
      <c r="AZ283" s="64" t="s">
        <v>1559</v>
      </c>
      <c r="BA283" s="64" t="s">
        <v>1560</v>
      </c>
      <c r="BX283" t="s">
        <v>1691</v>
      </c>
      <c r="BY283">
        <v>3</v>
      </c>
      <c r="BZ283" t="s">
        <v>1742</v>
      </c>
      <c r="CA283" t="s">
        <v>1743</v>
      </c>
      <c r="CB283" t="s">
        <v>1897</v>
      </c>
      <c r="CG283">
        <v>3</v>
      </c>
      <c r="CH283" t="s">
        <v>1897</v>
      </c>
      <c r="CI283" t="s">
        <v>650</v>
      </c>
      <c r="CJ283" t="s">
        <v>1901</v>
      </c>
      <c r="CK283" t="s">
        <v>1902</v>
      </c>
      <c r="CL283" t="s">
        <v>1903</v>
      </c>
      <c r="CM283">
        <v>9184</v>
      </c>
      <c r="CN283" t="s">
        <v>54</v>
      </c>
      <c r="CR283" t="s">
        <v>2002</v>
      </c>
    </row>
    <row r="284" spans="1:98" hidden="1">
      <c r="A284" s="29" t="s">
        <v>652</v>
      </c>
      <c r="B284" s="29" t="s">
        <v>79</v>
      </c>
      <c r="C284" s="30">
        <v>5</v>
      </c>
      <c r="D284" s="30" t="s">
        <v>653</v>
      </c>
      <c r="E284" s="30">
        <v>1</v>
      </c>
      <c r="F284" s="30"/>
      <c r="G284" s="30" t="s">
        <v>52</v>
      </c>
      <c r="H284" s="30"/>
      <c r="I284" s="30"/>
      <c r="J284" s="30"/>
      <c r="K284" s="30" t="s">
        <v>649</v>
      </c>
      <c r="L284" s="30" t="s">
        <v>653</v>
      </c>
      <c r="M284" s="30">
        <v>2</v>
      </c>
      <c r="N284" s="30"/>
      <c r="O284" s="23"/>
      <c r="P284" s="23"/>
      <c r="Q284" s="23"/>
      <c r="R284" s="23"/>
      <c r="S284" s="23" t="s">
        <v>64</v>
      </c>
      <c r="T284" s="23"/>
      <c r="U284" s="23" t="s">
        <v>54</v>
      </c>
      <c r="V284" s="23"/>
      <c r="W284" s="31">
        <v>3.339</v>
      </c>
      <c r="Y284" t="s">
        <v>40</v>
      </c>
      <c r="Z284" t="s">
        <v>53</v>
      </c>
      <c r="AA284" t="s">
        <v>51</v>
      </c>
      <c r="AB284" t="s">
        <v>439</v>
      </c>
      <c r="AC284" t="s">
        <v>1420</v>
      </c>
      <c r="AF284" t="s">
        <v>1437</v>
      </c>
      <c r="AG284" t="s">
        <v>58</v>
      </c>
      <c r="BX284" t="s">
        <v>649</v>
      </c>
    </row>
    <row r="285" spans="1:98" hidden="1">
      <c r="A285" s="32" t="s">
        <v>654</v>
      </c>
      <c r="B285" s="32" t="s">
        <v>83</v>
      </c>
      <c r="C285" s="23">
        <v>1</v>
      </c>
      <c r="D285" s="23">
        <v>2816800</v>
      </c>
      <c r="E285" s="23">
        <v>1</v>
      </c>
      <c r="F285" s="23">
        <v>0.19700000000000001</v>
      </c>
      <c r="G285" s="23" t="s">
        <v>89</v>
      </c>
      <c r="H285" s="23">
        <v>491</v>
      </c>
      <c r="I285" s="23" t="s">
        <v>85</v>
      </c>
      <c r="J285" s="23">
        <v>401</v>
      </c>
      <c r="K285" s="23" t="s">
        <v>246</v>
      </c>
      <c r="L285" s="23" t="s">
        <v>653</v>
      </c>
      <c r="M285" s="23"/>
      <c r="N285" s="23"/>
      <c r="O285" s="23"/>
      <c r="P285" s="23"/>
      <c r="Q285" s="23"/>
      <c r="R285" s="23"/>
      <c r="S285" s="23" t="s">
        <v>64</v>
      </c>
      <c r="T285" s="23"/>
      <c r="U285" s="23" t="s">
        <v>87</v>
      </c>
      <c r="V285" s="23"/>
      <c r="W285" s="33">
        <v>0</v>
      </c>
      <c r="Y285" t="s">
        <v>161</v>
      </c>
      <c r="Z285" t="s">
        <v>53</v>
      </c>
      <c r="AA285" t="s">
        <v>51</v>
      </c>
      <c r="AB285" t="s">
        <v>439</v>
      </c>
      <c r="AC285" t="s">
        <v>1420</v>
      </c>
      <c r="AF285" t="s">
        <v>1437</v>
      </c>
      <c r="AG285" t="s">
        <v>58</v>
      </c>
      <c r="AI285" t="str">
        <f>BY285&amp;"_"&amp;CB285&amp;"_"&amp;L285&amp;"_p"&amp;C285&amp;"_"&amp;E285&amp;"st_"&amp;AK285&amp;"_"&amp;RIGHT(AG285,4)&amp;"_"&amp;AL285</f>
        <v>3_oc_SL40046321_p1_1st__2050_</v>
      </c>
      <c r="AM285" t="s">
        <v>1673</v>
      </c>
      <c r="AZ285" s="64" t="s">
        <v>1561</v>
      </c>
      <c r="BA285" s="64" t="s">
        <v>1562</v>
      </c>
      <c r="BX285" t="s">
        <v>1691</v>
      </c>
      <c r="BY285">
        <v>3</v>
      </c>
      <c r="BZ285" t="s">
        <v>1742</v>
      </c>
      <c r="CA285" t="s">
        <v>1743</v>
      </c>
      <c r="CB285" t="s">
        <v>1897</v>
      </c>
      <c r="CG285">
        <v>3</v>
      </c>
      <c r="CH285" t="s">
        <v>1897</v>
      </c>
      <c r="CI285" t="s">
        <v>653</v>
      </c>
      <c r="CJ285" t="s">
        <v>1898</v>
      </c>
      <c r="CK285" t="s">
        <v>1902</v>
      </c>
      <c r="CL285" t="s">
        <v>1903</v>
      </c>
      <c r="CM285">
        <v>9184</v>
      </c>
      <c r="CN285" t="s">
        <v>1910</v>
      </c>
      <c r="CR285" t="s">
        <v>2003</v>
      </c>
    </row>
    <row r="286" spans="1:98" hidden="1">
      <c r="A286" s="32" t="s">
        <v>655</v>
      </c>
      <c r="B286" s="32" t="s">
        <v>79</v>
      </c>
      <c r="C286" s="23">
        <v>101</v>
      </c>
      <c r="D286" s="23">
        <v>24651200</v>
      </c>
      <c r="E286" s="23">
        <v>6</v>
      </c>
      <c r="F286" s="23"/>
      <c r="G286" s="23" t="s">
        <v>52</v>
      </c>
      <c r="H286" s="23" t="s">
        <v>656</v>
      </c>
      <c r="I286" s="23"/>
      <c r="J286" s="23"/>
      <c r="K286" s="23" t="s">
        <v>657</v>
      </c>
      <c r="L286" s="23" t="s">
        <v>653</v>
      </c>
      <c r="M286" s="23"/>
      <c r="N286" s="23"/>
      <c r="O286" s="23"/>
      <c r="P286" s="23"/>
      <c r="Q286" s="23"/>
      <c r="R286" s="23"/>
      <c r="S286" s="23" t="s">
        <v>64</v>
      </c>
      <c r="T286" s="23"/>
      <c r="U286" s="23" t="s">
        <v>17</v>
      </c>
      <c r="V286" s="23"/>
      <c r="W286" s="33">
        <v>2.5000000000000001E-2</v>
      </c>
      <c r="Y286" t="s">
        <v>124</v>
      </c>
      <c r="Z286" t="s">
        <v>53</v>
      </c>
      <c r="AA286" t="s">
        <v>51</v>
      </c>
      <c r="AB286" t="s">
        <v>439</v>
      </c>
      <c r="AF286" t="s">
        <v>1437</v>
      </c>
      <c r="AG286" t="s">
        <v>58</v>
      </c>
      <c r="BX286" t="s">
        <v>1713</v>
      </c>
      <c r="BY286" t="s">
        <v>656</v>
      </c>
      <c r="BZ286" t="s">
        <v>1714</v>
      </c>
      <c r="CA286" s="76">
        <v>46242</v>
      </c>
      <c r="CB286" t="s">
        <v>1740</v>
      </c>
    </row>
    <row r="287" spans="1:98" hidden="1">
      <c r="A287" s="32" t="s">
        <v>658</v>
      </c>
      <c r="B287" s="32" t="s">
        <v>79</v>
      </c>
      <c r="C287" s="23">
        <v>102</v>
      </c>
      <c r="D287" s="23">
        <v>24398500</v>
      </c>
      <c r="E287" s="23">
        <v>6</v>
      </c>
      <c r="F287" s="23"/>
      <c r="G287" s="23" t="s">
        <v>52</v>
      </c>
      <c r="H287" s="23" t="s">
        <v>229</v>
      </c>
      <c r="I287" s="23"/>
      <c r="J287" s="23"/>
      <c r="K287" s="23" t="s">
        <v>230</v>
      </c>
      <c r="L287" s="23" t="s">
        <v>653</v>
      </c>
      <c r="M287" s="23"/>
      <c r="N287" s="23"/>
      <c r="O287" s="23"/>
      <c r="P287" s="23"/>
      <c r="Q287" s="23"/>
      <c r="R287" s="23"/>
      <c r="S287" s="23" t="s">
        <v>64</v>
      </c>
      <c r="T287" s="23"/>
      <c r="U287" s="23" t="s">
        <v>17</v>
      </c>
      <c r="V287" s="23"/>
      <c r="W287" s="33">
        <v>7.0000000000000001E-3</v>
      </c>
      <c r="Y287" t="s">
        <v>124</v>
      </c>
      <c r="Z287" t="s">
        <v>53</v>
      </c>
      <c r="AA287" t="s">
        <v>51</v>
      </c>
      <c r="AB287" t="s">
        <v>439</v>
      </c>
      <c r="AF287" t="s">
        <v>1437</v>
      </c>
      <c r="AG287" t="s">
        <v>58</v>
      </c>
      <c r="BX287" t="s">
        <v>1717</v>
      </c>
      <c r="BY287" t="s">
        <v>229</v>
      </c>
      <c r="BZ287" t="s">
        <v>1718</v>
      </c>
      <c r="CA287">
        <v>8</v>
      </c>
      <c r="CB287" t="s">
        <v>1740</v>
      </c>
    </row>
    <row r="288" spans="1:98" hidden="1">
      <c r="A288" s="32" t="s">
        <v>659</v>
      </c>
      <c r="B288" s="32" t="s">
        <v>79</v>
      </c>
      <c r="C288" s="23">
        <v>103</v>
      </c>
      <c r="D288" s="23">
        <v>24389600</v>
      </c>
      <c r="E288" s="23">
        <v>12</v>
      </c>
      <c r="F288" s="23"/>
      <c r="G288" s="23" t="s">
        <v>52</v>
      </c>
      <c r="H288" s="23">
        <v>10.5</v>
      </c>
      <c r="I288" s="23"/>
      <c r="J288" s="23"/>
      <c r="K288" s="23" t="s">
        <v>232</v>
      </c>
      <c r="L288" s="23" t="s">
        <v>653</v>
      </c>
      <c r="M288" s="23"/>
      <c r="N288" s="23"/>
      <c r="O288" s="23"/>
      <c r="P288" s="23"/>
      <c r="Q288" s="23"/>
      <c r="R288" s="23"/>
      <c r="S288" s="23" t="s">
        <v>64</v>
      </c>
      <c r="T288" s="23"/>
      <c r="U288" s="23" t="s">
        <v>17</v>
      </c>
      <c r="V288" s="23"/>
      <c r="W288" s="33">
        <v>4.0000000000000001E-3</v>
      </c>
      <c r="Y288" t="s">
        <v>124</v>
      </c>
      <c r="Z288" t="s">
        <v>53</v>
      </c>
      <c r="AA288" t="s">
        <v>51</v>
      </c>
      <c r="AB288" t="s">
        <v>439</v>
      </c>
      <c r="AF288" t="s">
        <v>1437</v>
      </c>
      <c r="AG288" t="s">
        <v>58</v>
      </c>
      <c r="BX288" t="s">
        <v>1719</v>
      </c>
      <c r="BY288">
        <v>10.5</v>
      </c>
      <c r="BZ288" t="s">
        <v>763</v>
      </c>
      <c r="CA288" t="s">
        <v>1720</v>
      </c>
      <c r="CB288" t="s">
        <v>1721</v>
      </c>
    </row>
    <row r="289" spans="1:98" hidden="1">
      <c r="A289" s="32" t="s">
        <v>660</v>
      </c>
      <c r="B289" s="32" t="s">
        <v>79</v>
      </c>
      <c r="C289" s="23">
        <v>104</v>
      </c>
      <c r="D289" s="23">
        <v>24379100</v>
      </c>
      <c r="E289" s="23">
        <v>4</v>
      </c>
      <c r="F289" s="23"/>
      <c r="G289" s="23" t="s">
        <v>52</v>
      </c>
      <c r="H289" s="23" t="s">
        <v>272</v>
      </c>
      <c r="I289" s="23"/>
      <c r="J289" s="23"/>
      <c r="K289" s="23" t="s">
        <v>273</v>
      </c>
      <c r="L289" s="23" t="s">
        <v>653</v>
      </c>
      <c r="M289" s="23"/>
      <c r="N289" s="23"/>
      <c r="O289" s="23"/>
      <c r="P289" s="23"/>
      <c r="Q289" s="23"/>
      <c r="R289" s="23"/>
      <c r="S289" s="23" t="s">
        <v>64</v>
      </c>
      <c r="T289" s="23"/>
      <c r="U289" s="23" t="s">
        <v>17</v>
      </c>
      <c r="V289" s="23"/>
      <c r="W289" s="33">
        <v>4.1000000000000002E-2</v>
      </c>
      <c r="Y289" t="s">
        <v>124</v>
      </c>
      <c r="Z289" t="s">
        <v>53</v>
      </c>
      <c r="AA289" t="s">
        <v>51</v>
      </c>
      <c r="AB289" t="s">
        <v>439</v>
      </c>
      <c r="AF289" t="s">
        <v>1437</v>
      </c>
      <c r="AG289" t="s">
        <v>58</v>
      </c>
      <c r="BX289" t="s">
        <v>1713</v>
      </c>
      <c r="BY289" t="s">
        <v>272</v>
      </c>
      <c r="BZ289" t="s">
        <v>1714</v>
      </c>
      <c r="CA289" s="76">
        <v>46242</v>
      </c>
      <c r="CB289" t="s">
        <v>1715</v>
      </c>
      <c r="CC289" t="s">
        <v>1716</v>
      </c>
    </row>
    <row r="290" spans="1:98" hidden="1">
      <c r="A290" s="32" t="s">
        <v>661</v>
      </c>
      <c r="B290" s="32" t="s">
        <v>79</v>
      </c>
      <c r="C290" s="23">
        <v>105</v>
      </c>
      <c r="D290" s="23">
        <v>24707900</v>
      </c>
      <c r="E290" s="23">
        <v>4</v>
      </c>
      <c r="F290" s="23"/>
      <c r="G290" s="23" t="s">
        <v>52</v>
      </c>
      <c r="H290" s="23" t="s">
        <v>275</v>
      </c>
      <c r="I290" s="23"/>
      <c r="J290" s="23"/>
      <c r="K290" s="23" t="s">
        <v>276</v>
      </c>
      <c r="L290" s="23" t="s">
        <v>653</v>
      </c>
      <c r="M290" s="23"/>
      <c r="N290" s="23"/>
      <c r="O290" s="23"/>
      <c r="P290" s="23"/>
      <c r="Q290" s="23"/>
      <c r="R290" s="23"/>
      <c r="S290" s="23" t="s">
        <v>64</v>
      </c>
      <c r="T290" s="23"/>
      <c r="U290" s="23" t="s">
        <v>17</v>
      </c>
      <c r="V290" s="23"/>
      <c r="W290" s="33">
        <v>1.7000000000000001E-2</v>
      </c>
      <c r="Y290" t="s">
        <v>124</v>
      </c>
      <c r="Z290" t="s">
        <v>53</v>
      </c>
      <c r="AA290" t="s">
        <v>51</v>
      </c>
      <c r="AB290" t="s">
        <v>439</v>
      </c>
      <c r="AF290" t="s">
        <v>1437</v>
      </c>
      <c r="AG290" t="s">
        <v>58</v>
      </c>
      <c r="BX290" t="s">
        <v>1717</v>
      </c>
      <c r="BY290" t="s">
        <v>275</v>
      </c>
      <c r="BZ290" t="s">
        <v>1718</v>
      </c>
      <c r="CA290">
        <v>8</v>
      </c>
      <c r="CB290" t="s">
        <v>1715</v>
      </c>
      <c r="CC290" t="s">
        <v>1716</v>
      </c>
    </row>
    <row r="291" spans="1:98" hidden="1">
      <c r="A291" s="32" t="s">
        <v>662</v>
      </c>
      <c r="B291" s="32" t="s">
        <v>79</v>
      </c>
      <c r="C291" s="23">
        <v>106</v>
      </c>
      <c r="D291" s="23">
        <v>24484200</v>
      </c>
      <c r="E291" s="23">
        <v>4</v>
      </c>
      <c r="F291" s="23"/>
      <c r="G291" s="23" t="s">
        <v>52</v>
      </c>
      <c r="H291" s="23">
        <v>13</v>
      </c>
      <c r="I291" s="23"/>
      <c r="J291" s="23"/>
      <c r="K291" s="23" t="s">
        <v>278</v>
      </c>
      <c r="L291" s="23" t="s">
        <v>653</v>
      </c>
      <c r="M291" s="23"/>
      <c r="N291" s="23"/>
      <c r="O291" s="23"/>
      <c r="P291" s="23"/>
      <c r="Q291" s="23"/>
      <c r="R291" s="23"/>
      <c r="S291" s="23" t="s">
        <v>64</v>
      </c>
      <c r="T291" s="23"/>
      <c r="U291" s="23" t="s">
        <v>17</v>
      </c>
      <c r="V291" s="23"/>
      <c r="W291" s="33">
        <v>0.01</v>
      </c>
      <c r="Y291" t="s">
        <v>124</v>
      </c>
      <c r="Z291" t="s">
        <v>53</v>
      </c>
      <c r="AA291" t="s">
        <v>51</v>
      </c>
      <c r="AB291" t="s">
        <v>439</v>
      </c>
      <c r="AF291" t="s">
        <v>1437</v>
      </c>
      <c r="AG291" t="s">
        <v>58</v>
      </c>
      <c r="BX291" t="s">
        <v>1719</v>
      </c>
      <c r="BY291">
        <v>13</v>
      </c>
      <c r="BZ291" t="s">
        <v>763</v>
      </c>
      <c r="CA291" t="s">
        <v>1720</v>
      </c>
      <c r="CB291" t="s">
        <v>1721</v>
      </c>
    </row>
    <row r="292" spans="1:98" hidden="1">
      <c r="A292" s="32" t="s">
        <v>663</v>
      </c>
      <c r="B292" s="32" t="s">
        <v>79</v>
      </c>
      <c r="C292" s="23">
        <v>107</v>
      </c>
      <c r="D292" s="23">
        <v>5100500</v>
      </c>
      <c r="E292" s="23">
        <v>4</v>
      </c>
      <c r="F292" s="23"/>
      <c r="G292" s="23" t="s">
        <v>52</v>
      </c>
      <c r="H292" s="23"/>
      <c r="I292" s="23"/>
      <c r="J292" s="23"/>
      <c r="K292" s="23" t="s">
        <v>664</v>
      </c>
      <c r="L292" s="23" t="s">
        <v>653</v>
      </c>
      <c r="M292" s="23"/>
      <c r="N292" s="23"/>
      <c r="O292" s="23"/>
      <c r="P292" s="23"/>
      <c r="Q292" s="23"/>
      <c r="R292" s="23"/>
      <c r="S292" s="23" t="s">
        <v>64</v>
      </c>
      <c r="T292" s="23"/>
      <c r="U292" s="23" t="s">
        <v>17</v>
      </c>
      <c r="V292" s="23"/>
      <c r="W292" s="33">
        <v>0.01</v>
      </c>
      <c r="Y292" t="s">
        <v>124</v>
      </c>
      <c r="Z292" t="s">
        <v>53</v>
      </c>
      <c r="AA292" t="s">
        <v>51</v>
      </c>
      <c r="AB292" t="s">
        <v>439</v>
      </c>
      <c r="AF292" t="s">
        <v>1437</v>
      </c>
      <c r="AG292" t="s">
        <v>58</v>
      </c>
      <c r="BX292" t="s">
        <v>1797</v>
      </c>
      <c r="BY292">
        <v>14</v>
      </c>
      <c r="BZ292" t="s">
        <v>1777</v>
      </c>
      <c r="CA292" t="s">
        <v>1734</v>
      </c>
    </row>
    <row r="293" spans="1:98" hidden="1">
      <c r="A293" s="29" t="s">
        <v>665</v>
      </c>
      <c r="B293" s="29" t="s">
        <v>74</v>
      </c>
      <c r="C293" s="30">
        <v>7</v>
      </c>
      <c r="D293" s="30" t="s">
        <v>666</v>
      </c>
      <c r="E293" s="30">
        <v>1</v>
      </c>
      <c r="F293" s="30"/>
      <c r="G293" s="30" t="s">
        <v>52</v>
      </c>
      <c r="H293" s="30"/>
      <c r="I293" s="30"/>
      <c r="J293" s="30"/>
      <c r="K293" s="30" t="s">
        <v>667</v>
      </c>
      <c r="L293" s="30" t="s">
        <v>666</v>
      </c>
      <c r="M293" s="30">
        <v>2</v>
      </c>
      <c r="N293" s="30" t="s">
        <v>17</v>
      </c>
      <c r="O293" s="23"/>
      <c r="P293" s="23"/>
      <c r="Q293" s="23"/>
      <c r="R293" s="23"/>
      <c r="S293" s="23" t="s">
        <v>64</v>
      </c>
      <c r="T293" s="23"/>
      <c r="U293" s="23" t="s">
        <v>54</v>
      </c>
      <c r="V293" s="23"/>
      <c r="W293" s="31">
        <v>4.74</v>
      </c>
      <c r="Y293" t="s">
        <v>40</v>
      </c>
      <c r="Z293" t="s">
        <v>53</v>
      </c>
      <c r="AA293" t="s">
        <v>51</v>
      </c>
      <c r="AB293" t="s">
        <v>439</v>
      </c>
      <c r="AC293" t="s">
        <v>1420</v>
      </c>
      <c r="AF293" t="s">
        <v>1437</v>
      </c>
      <c r="AG293" t="s">
        <v>58</v>
      </c>
      <c r="BX293" t="s">
        <v>667</v>
      </c>
    </row>
    <row r="294" spans="1:98" hidden="1">
      <c r="A294" s="32" t="s">
        <v>668</v>
      </c>
      <c r="B294" s="32" t="s">
        <v>79</v>
      </c>
      <c r="C294" s="23">
        <v>1</v>
      </c>
      <c r="D294" s="23">
        <v>3029300</v>
      </c>
      <c r="E294" s="23">
        <v>1</v>
      </c>
      <c r="F294" s="23">
        <v>0.57599999999999996</v>
      </c>
      <c r="G294" s="23" t="s">
        <v>89</v>
      </c>
      <c r="H294" s="23" t="s">
        <v>669</v>
      </c>
      <c r="I294" s="23" t="s">
        <v>85</v>
      </c>
      <c r="J294" s="23">
        <v>401</v>
      </c>
      <c r="K294" s="23" t="s">
        <v>591</v>
      </c>
      <c r="L294" s="23" t="s">
        <v>666</v>
      </c>
      <c r="M294" s="23"/>
      <c r="N294" s="23"/>
      <c r="O294" s="23"/>
      <c r="P294" s="23"/>
      <c r="Q294" s="23"/>
      <c r="R294" s="23"/>
      <c r="S294" s="23" t="s">
        <v>64</v>
      </c>
      <c r="T294" s="23"/>
      <c r="U294" s="23" t="s">
        <v>87</v>
      </c>
      <c r="V294" s="23"/>
      <c r="W294" s="33">
        <v>0</v>
      </c>
      <c r="Y294" t="s">
        <v>161</v>
      </c>
      <c r="Z294" t="s">
        <v>53</v>
      </c>
      <c r="AA294" t="s">
        <v>51</v>
      </c>
      <c r="AB294" t="s">
        <v>439</v>
      </c>
      <c r="AC294" t="s">
        <v>1420</v>
      </c>
      <c r="AF294" t="s">
        <v>1437</v>
      </c>
      <c r="AG294" t="s">
        <v>58</v>
      </c>
      <c r="AI294" t="str">
        <f>BY294&amp;"_"&amp;CB294&amp;"_"&amp;L294&amp;"_p"&amp;C294&amp;"_"&amp;E294&amp;"st_"&amp;AK294&amp;"_"&amp;RIGHT(AG294,4)&amp;"_"&amp;AL294</f>
        <v>2_oc_SL41046803_p1_1st__2050_</v>
      </c>
      <c r="AM294" t="s">
        <v>1673</v>
      </c>
      <c r="AZ294" s="64" t="s">
        <v>1563</v>
      </c>
      <c r="BA294" s="64" t="s">
        <v>1564</v>
      </c>
      <c r="BX294" t="s">
        <v>1691</v>
      </c>
      <c r="BY294">
        <v>2</v>
      </c>
      <c r="BZ294" t="s">
        <v>1742</v>
      </c>
      <c r="CA294" t="s">
        <v>1743</v>
      </c>
      <c r="CB294" t="s">
        <v>1897</v>
      </c>
      <c r="CG294">
        <v>2</v>
      </c>
      <c r="CH294" t="s">
        <v>1897</v>
      </c>
      <c r="CI294" t="s">
        <v>666</v>
      </c>
      <c r="CJ294" t="s">
        <v>1898</v>
      </c>
      <c r="CK294" t="s">
        <v>1902</v>
      </c>
      <c r="CL294" t="s">
        <v>1903</v>
      </c>
      <c r="CM294">
        <v>9184</v>
      </c>
      <c r="CR294" t="s">
        <v>2004</v>
      </c>
    </row>
    <row r="295" spans="1:98" hidden="1">
      <c r="A295" s="32" t="s">
        <v>670</v>
      </c>
      <c r="B295" s="32" t="s">
        <v>79</v>
      </c>
      <c r="C295" s="23">
        <v>101</v>
      </c>
      <c r="D295" s="23">
        <v>24379000</v>
      </c>
      <c r="E295" s="23">
        <v>2</v>
      </c>
      <c r="F295" s="23"/>
      <c r="G295" s="23" t="s">
        <v>52</v>
      </c>
      <c r="H295" s="23" t="s">
        <v>568</v>
      </c>
      <c r="I295" s="23"/>
      <c r="J295" s="23"/>
      <c r="K295" s="23" t="s">
        <v>569</v>
      </c>
      <c r="L295" s="23" t="s">
        <v>666</v>
      </c>
      <c r="M295" s="23"/>
      <c r="N295" s="23"/>
      <c r="O295" s="23"/>
      <c r="P295" s="23"/>
      <c r="Q295" s="23"/>
      <c r="R295" s="23"/>
      <c r="S295" s="23" t="s">
        <v>64</v>
      </c>
      <c r="T295" s="23"/>
      <c r="U295" s="23" t="s">
        <v>17</v>
      </c>
      <c r="V295" s="23"/>
      <c r="W295" s="33">
        <v>0.1</v>
      </c>
      <c r="Y295" t="s">
        <v>124</v>
      </c>
      <c r="Z295" t="s">
        <v>53</v>
      </c>
      <c r="AA295" t="s">
        <v>51</v>
      </c>
      <c r="AB295" t="s">
        <v>439</v>
      </c>
      <c r="AF295" t="s">
        <v>1437</v>
      </c>
      <c r="AG295" t="s">
        <v>58</v>
      </c>
      <c r="BX295" t="s">
        <v>1713</v>
      </c>
      <c r="BY295" t="s">
        <v>568</v>
      </c>
      <c r="BZ295" t="s">
        <v>1714</v>
      </c>
      <c r="CA295" s="76">
        <v>46242</v>
      </c>
      <c r="CB295" t="s">
        <v>1715</v>
      </c>
      <c r="CC295" t="s">
        <v>1716</v>
      </c>
    </row>
    <row r="296" spans="1:98" hidden="1">
      <c r="A296" s="32" t="s">
        <v>671</v>
      </c>
      <c r="B296" s="32" t="s">
        <v>79</v>
      </c>
      <c r="C296" s="23">
        <v>102</v>
      </c>
      <c r="D296" s="23">
        <v>24707900</v>
      </c>
      <c r="E296" s="23">
        <v>6</v>
      </c>
      <c r="F296" s="23"/>
      <c r="G296" s="23" t="s">
        <v>52</v>
      </c>
      <c r="H296" s="23" t="s">
        <v>275</v>
      </c>
      <c r="I296" s="23"/>
      <c r="J296" s="23"/>
      <c r="K296" s="23" t="s">
        <v>276</v>
      </c>
      <c r="L296" s="23" t="s">
        <v>666</v>
      </c>
      <c r="M296" s="23"/>
      <c r="N296" s="23"/>
      <c r="O296" s="23"/>
      <c r="P296" s="23"/>
      <c r="Q296" s="23"/>
      <c r="R296" s="23"/>
      <c r="S296" s="23" t="s">
        <v>64</v>
      </c>
      <c r="T296" s="23"/>
      <c r="U296" s="23" t="s">
        <v>17</v>
      </c>
      <c r="V296" s="23"/>
      <c r="W296" s="33">
        <v>1.7000000000000001E-2</v>
      </c>
      <c r="Y296" t="s">
        <v>124</v>
      </c>
      <c r="Z296" t="s">
        <v>53</v>
      </c>
      <c r="AA296" t="s">
        <v>51</v>
      </c>
      <c r="AB296" t="s">
        <v>439</v>
      </c>
      <c r="AF296" t="s">
        <v>1437</v>
      </c>
      <c r="AG296" t="s">
        <v>58</v>
      </c>
      <c r="BX296" t="s">
        <v>1717</v>
      </c>
      <c r="BY296" t="s">
        <v>275</v>
      </c>
      <c r="BZ296" t="s">
        <v>1718</v>
      </c>
      <c r="CA296">
        <v>8</v>
      </c>
      <c r="CB296" t="s">
        <v>1715</v>
      </c>
      <c r="CC296" t="s">
        <v>1716</v>
      </c>
    </row>
    <row r="297" spans="1:98" hidden="1">
      <c r="A297" s="32" t="s">
        <v>672</v>
      </c>
      <c r="B297" s="32" t="s">
        <v>79</v>
      </c>
      <c r="C297" s="23">
        <v>103</v>
      </c>
      <c r="D297" s="23">
        <v>24484200</v>
      </c>
      <c r="E297" s="23">
        <v>8</v>
      </c>
      <c r="F297" s="23"/>
      <c r="G297" s="23" t="s">
        <v>52</v>
      </c>
      <c r="H297" s="23">
        <v>13</v>
      </c>
      <c r="I297" s="23"/>
      <c r="J297" s="23"/>
      <c r="K297" s="23" t="s">
        <v>278</v>
      </c>
      <c r="L297" s="23" t="s">
        <v>666</v>
      </c>
      <c r="M297" s="23"/>
      <c r="N297" s="23"/>
      <c r="O297" s="23"/>
      <c r="P297" s="23"/>
      <c r="Q297" s="23"/>
      <c r="R297" s="23"/>
      <c r="S297" s="23" t="s">
        <v>64</v>
      </c>
      <c r="T297" s="23"/>
      <c r="U297" s="23" t="s">
        <v>17</v>
      </c>
      <c r="V297" s="23"/>
      <c r="W297" s="33">
        <v>0.01</v>
      </c>
      <c r="Y297" t="s">
        <v>124</v>
      </c>
      <c r="Z297" t="s">
        <v>53</v>
      </c>
      <c r="AA297" t="s">
        <v>51</v>
      </c>
      <c r="AB297" t="s">
        <v>439</v>
      </c>
      <c r="AF297" t="s">
        <v>1437</v>
      </c>
      <c r="AG297" t="s">
        <v>58</v>
      </c>
      <c r="BX297" t="s">
        <v>1719</v>
      </c>
      <c r="BY297">
        <v>13</v>
      </c>
      <c r="BZ297" t="s">
        <v>763</v>
      </c>
      <c r="CA297" t="s">
        <v>1720</v>
      </c>
      <c r="CB297" t="s">
        <v>1721</v>
      </c>
    </row>
    <row r="298" spans="1:98" hidden="1">
      <c r="A298" s="32" t="s">
        <v>673</v>
      </c>
      <c r="B298" s="32" t="s">
        <v>79</v>
      </c>
      <c r="C298" s="23">
        <v>104</v>
      </c>
      <c r="D298" s="23">
        <v>24379100</v>
      </c>
      <c r="E298" s="23">
        <v>4</v>
      </c>
      <c r="F298" s="23"/>
      <c r="G298" s="23" t="s">
        <v>52</v>
      </c>
      <c r="H298" s="23" t="s">
        <v>272</v>
      </c>
      <c r="I298" s="23"/>
      <c r="J298" s="23"/>
      <c r="K298" s="23" t="s">
        <v>273</v>
      </c>
      <c r="L298" s="23" t="s">
        <v>666</v>
      </c>
      <c r="M298" s="23"/>
      <c r="N298" s="23"/>
      <c r="O298" s="23"/>
      <c r="P298" s="23"/>
      <c r="Q298" s="23"/>
      <c r="R298" s="23"/>
      <c r="S298" s="23" t="s">
        <v>64</v>
      </c>
      <c r="T298" s="23"/>
      <c r="U298" s="23" t="s">
        <v>17</v>
      </c>
      <c r="V298" s="23"/>
      <c r="W298" s="33">
        <v>4.1000000000000002E-2</v>
      </c>
      <c r="Y298" t="s">
        <v>124</v>
      </c>
      <c r="Z298" t="s">
        <v>53</v>
      </c>
      <c r="AA298" t="s">
        <v>51</v>
      </c>
      <c r="AB298" t="s">
        <v>439</v>
      </c>
      <c r="AF298" t="s">
        <v>1437</v>
      </c>
      <c r="AG298" t="s">
        <v>58</v>
      </c>
      <c r="BX298" t="s">
        <v>1713</v>
      </c>
      <c r="BY298" t="s">
        <v>272</v>
      </c>
      <c r="BZ298" t="s">
        <v>1714</v>
      </c>
      <c r="CA298" s="76">
        <v>46242</v>
      </c>
      <c r="CB298" t="s">
        <v>1715</v>
      </c>
      <c r="CC298" t="s">
        <v>1716</v>
      </c>
    </row>
    <row r="299" spans="1:98" hidden="1">
      <c r="A299" s="32" t="s">
        <v>674</v>
      </c>
      <c r="B299" s="32" t="s">
        <v>79</v>
      </c>
      <c r="C299" s="23">
        <v>105</v>
      </c>
      <c r="D299" s="23">
        <v>5100500</v>
      </c>
      <c r="E299" s="23">
        <v>4</v>
      </c>
      <c r="F299" s="23"/>
      <c r="G299" s="23" t="s">
        <v>52</v>
      </c>
      <c r="H299" s="23"/>
      <c r="I299" s="23"/>
      <c r="J299" s="23"/>
      <c r="K299" s="23" t="s">
        <v>664</v>
      </c>
      <c r="L299" s="23" t="s">
        <v>666</v>
      </c>
      <c r="M299" s="23"/>
      <c r="N299" s="23"/>
      <c r="O299" s="23"/>
      <c r="P299" s="23"/>
      <c r="Q299" s="23"/>
      <c r="R299" s="23"/>
      <c r="S299" s="23" t="s">
        <v>64</v>
      </c>
      <c r="T299" s="23"/>
      <c r="U299" s="23" t="s">
        <v>17</v>
      </c>
      <c r="V299" s="23"/>
      <c r="W299" s="33">
        <v>0.01</v>
      </c>
      <c r="Y299" t="s">
        <v>124</v>
      </c>
      <c r="Z299" t="s">
        <v>53</v>
      </c>
      <c r="AA299" t="s">
        <v>51</v>
      </c>
      <c r="AB299" t="s">
        <v>439</v>
      </c>
      <c r="AF299" t="s">
        <v>1437</v>
      </c>
      <c r="AG299" t="s">
        <v>58</v>
      </c>
      <c r="BX299" t="s">
        <v>1797</v>
      </c>
      <c r="BY299">
        <v>14</v>
      </c>
      <c r="BZ299" t="s">
        <v>1777</v>
      </c>
      <c r="CA299" t="s">
        <v>1734</v>
      </c>
    </row>
    <row r="300" spans="1:98" hidden="1">
      <c r="A300" s="29" t="s">
        <v>675</v>
      </c>
      <c r="B300" s="29" t="s">
        <v>74</v>
      </c>
      <c r="C300" s="30">
        <v>8</v>
      </c>
      <c r="D300" s="30" t="s">
        <v>676</v>
      </c>
      <c r="E300" s="30">
        <v>2</v>
      </c>
      <c r="F300" s="30"/>
      <c r="G300" s="30" t="s">
        <v>52</v>
      </c>
      <c r="H300" s="30"/>
      <c r="I300" s="30"/>
      <c r="J300" s="30"/>
      <c r="K300" s="30" t="s">
        <v>677</v>
      </c>
      <c r="L300" s="30" t="s">
        <v>676</v>
      </c>
      <c r="M300" s="30">
        <v>4</v>
      </c>
      <c r="N300" s="30"/>
      <c r="O300" s="23"/>
      <c r="P300" s="23"/>
      <c r="Q300" s="23"/>
      <c r="R300" s="23"/>
      <c r="S300" s="23" t="s">
        <v>64</v>
      </c>
      <c r="T300" s="23"/>
      <c r="U300" s="23" t="s">
        <v>54</v>
      </c>
      <c r="V300" s="23"/>
      <c r="W300" s="31">
        <v>0.111</v>
      </c>
      <c r="Y300" t="s">
        <v>40</v>
      </c>
      <c r="Z300" t="s">
        <v>53</v>
      </c>
      <c r="AA300" t="s">
        <v>51</v>
      </c>
      <c r="AB300" t="s">
        <v>439</v>
      </c>
      <c r="AF300" t="s">
        <v>1437</v>
      </c>
      <c r="AG300" t="s">
        <v>58</v>
      </c>
      <c r="BX300" t="s">
        <v>677</v>
      </c>
    </row>
    <row r="301" spans="1:98" s="79" customFormat="1">
      <c r="A301" s="80" t="s">
        <v>678</v>
      </c>
      <c r="B301" s="80" t="s">
        <v>79</v>
      </c>
      <c r="C301" s="81">
        <v>1</v>
      </c>
      <c r="D301" s="81">
        <v>155000</v>
      </c>
      <c r="E301" s="81">
        <v>2</v>
      </c>
      <c r="F301" s="81">
        <v>2.5000000000000001E-2</v>
      </c>
      <c r="G301" s="81" t="s">
        <v>89</v>
      </c>
      <c r="H301" s="81">
        <v>120</v>
      </c>
      <c r="I301" s="81" t="s">
        <v>85</v>
      </c>
      <c r="J301" s="81">
        <v>105</v>
      </c>
      <c r="K301" s="81" t="s">
        <v>209</v>
      </c>
      <c r="L301" s="81" t="s">
        <v>676</v>
      </c>
      <c r="M301" s="81"/>
      <c r="N301" s="81"/>
      <c r="O301" s="23"/>
      <c r="P301" s="23"/>
      <c r="Q301" s="23"/>
      <c r="R301" s="23"/>
      <c r="S301" s="23" t="s">
        <v>64</v>
      </c>
      <c r="T301" s="23"/>
      <c r="U301" s="23" t="s">
        <v>87</v>
      </c>
      <c r="V301" s="23"/>
      <c r="W301" s="82">
        <v>0</v>
      </c>
      <c r="Y301" s="79" t="s">
        <v>161</v>
      </c>
      <c r="Z301" s="79" t="s">
        <v>53</v>
      </c>
      <c r="AA301" s="79" t="s">
        <v>51</v>
      </c>
      <c r="AB301" s="79" t="s">
        <v>439</v>
      </c>
      <c r="AC301" s="79" t="s">
        <v>1428</v>
      </c>
      <c r="AF301" s="79" t="s">
        <v>1437</v>
      </c>
      <c r="AG301" s="79" t="s">
        <v>58</v>
      </c>
      <c r="AI301" s="79" t="str">
        <f>BY301&amp;"_"&amp;CB301&amp;"_"&amp;L301&amp;"_p"&amp;C301&amp;"_"&amp;E301&amp;"st_"&amp;AK301&amp;"_"&amp;RIGHT(AG301,4)&amp;"_"&amp;AL301</f>
        <v>3_S235_SL40047020_p1_2st_G_2050_</v>
      </c>
      <c r="AK301" s="79" t="s">
        <v>1900</v>
      </c>
      <c r="AM301" s="79" t="s">
        <v>1675</v>
      </c>
      <c r="AO301"/>
      <c r="AP301"/>
      <c r="AQ301"/>
      <c r="AR301"/>
      <c r="AS301"/>
      <c r="AT301"/>
      <c r="AU301"/>
      <c r="AV301"/>
      <c r="AW301"/>
      <c r="AX301"/>
      <c r="AY301"/>
      <c r="AZ301" s="83" t="s">
        <v>1565</v>
      </c>
      <c r="BA301" s="83" t="s">
        <v>1566</v>
      </c>
      <c r="BX301" s="79" t="s">
        <v>1691</v>
      </c>
      <c r="BY301" s="79">
        <v>3</v>
      </c>
      <c r="BZ301" s="79" t="s">
        <v>1692</v>
      </c>
      <c r="CA301" s="79" t="s">
        <v>1736</v>
      </c>
      <c r="CB301" s="79" t="s">
        <v>1895</v>
      </c>
      <c r="CG301" s="79">
        <v>3</v>
      </c>
      <c r="CH301" s="79" t="s">
        <v>1895</v>
      </c>
      <c r="CI301" s="79" t="s">
        <v>676</v>
      </c>
      <c r="CJ301" s="79" t="s">
        <v>1898</v>
      </c>
      <c r="CK301" s="79" t="s">
        <v>1899</v>
      </c>
      <c r="CL301" s="79" t="s">
        <v>1900</v>
      </c>
      <c r="CM301" s="79">
        <v>3902</v>
      </c>
      <c r="CN301" s="79">
        <v>3</v>
      </c>
      <c r="CR301" s="79" t="s">
        <v>2005</v>
      </c>
      <c r="CT301" s="79" t="s">
        <v>1900</v>
      </c>
    </row>
    <row r="302" spans="1:98" hidden="1">
      <c r="A302" s="32" t="s">
        <v>679</v>
      </c>
      <c r="B302" s="32" t="s">
        <v>79</v>
      </c>
      <c r="C302" s="23">
        <v>101</v>
      </c>
      <c r="D302" s="23">
        <v>24755700</v>
      </c>
      <c r="E302" s="23">
        <v>4</v>
      </c>
      <c r="F302" s="23"/>
      <c r="G302" s="23" t="s">
        <v>52</v>
      </c>
      <c r="H302" s="23" t="s">
        <v>680</v>
      </c>
      <c r="I302" s="23"/>
      <c r="J302" s="23"/>
      <c r="K302" s="23" t="s">
        <v>681</v>
      </c>
      <c r="L302" s="23" t="s">
        <v>676</v>
      </c>
      <c r="M302" s="23"/>
      <c r="N302" s="23"/>
      <c r="O302" s="23"/>
      <c r="P302" s="23"/>
      <c r="Q302" s="23"/>
      <c r="R302" s="23"/>
      <c r="S302" s="23" t="s">
        <v>64</v>
      </c>
      <c r="T302" s="23"/>
      <c r="U302" s="23" t="s">
        <v>17</v>
      </c>
      <c r="V302" s="23"/>
      <c r="W302" s="33">
        <v>3.0000000000000001E-3</v>
      </c>
      <c r="Y302" t="s">
        <v>124</v>
      </c>
      <c r="Z302" t="s">
        <v>53</v>
      </c>
      <c r="AA302" t="s">
        <v>51</v>
      </c>
      <c r="AB302" t="s">
        <v>439</v>
      </c>
      <c r="AF302" t="s">
        <v>1437</v>
      </c>
      <c r="AG302" t="s">
        <v>58</v>
      </c>
      <c r="BX302" t="s">
        <v>1713</v>
      </c>
      <c r="BY302" t="s">
        <v>680</v>
      </c>
      <c r="BZ302" t="s">
        <v>1714</v>
      </c>
      <c r="CA302" s="76">
        <v>46242</v>
      </c>
      <c r="CB302" t="s">
        <v>1740</v>
      </c>
    </row>
    <row r="303" spans="1:98" hidden="1">
      <c r="A303" s="32" t="s">
        <v>682</v>
      </c>
      <c r="B303" s="32" t="s">
        <v>79</v>
      </c>
      <c r="C303" s="23">
        <v>102</v>
      </c>
      <c r="D303" s="23">
        <v>3369300</v>
      </c>
      <c r="E303" s="23">
        <v>4</v>
      </c>
      <c r="F303" s="23"/>
      <c r="G303" s="23" t="s">
        <v>52</v>
      </c>
      <c r="H303" s="23"/>
      <c r="I303" s="23"/>
      <c r="J303" s="23"/>
      <c r="K303" s="23" t="s">
        <v>683</v>
      </c>
      <c r="L303" s="23" t="s">
        <v>676</v>
      </c>
      <c r="M303" s="23"/>
      <c r="N303" s="23"/>
      <c r="O303" s="23"/>
      <c r="P303" s="23"/>
      <c r="Q303" s="23"/>
      <c r="R303" s="23"/>
      <c r="S303" s="23" t="s">
        <v>64</v>
      </c>
      <c r="T303" s="23"/>
      <c r="U303" s="23" t="s">
        <v>17</v>
      </c>
      <c r="V303" s="23"/>
      <c r="W303" s="33">
        <v>1E-3</v>
      </c>
      <c r="Y303" t="s">
        <v>124</v>
      </c>
      <c r="Z303" t="s">
        <v>53</v>
      </c>
      <c r="AA303" t="s">
        <v>51</v>
      </c>
      <c r="AB303" t="s">
        <v>439</v>
      </c>
      <c r="AF303" t="s">
        <v>1437</v>
      </c>
      <c r="AG303" t="s">
        <v>58</v>
      </c>
      <c r="BX303" t="s">
        <v>1719</v>
      </c>
      <c r="BY303">
        <v>6.4</v>
      </c>
      <c r="BZ303" t="s">
        <v>763</v>
      </c>
      <c r="CA303" t="s">
        <v>1720</v>
      </c>
      <c r="CB303" t="s">
        <v>1798</v>
      </c>
    </row>
    <row r="304" spans="1:98" hidden="1">
      <c r="A304" s="29" t="s">
        <v>684</v>
      </c>
      <c r="B304" s="29" t="s">
        <v>74</v>
      </c>
      <c r="C304" s="30">
        <v>9</v>
      </c>
      <c r="D304" s="30" t="s">
        <v>685</v>
      </c>
      <c r="E304" s="30">
        <v>1</v>
      </c>
      <c r="F304" s="30"/>
      <c r="G304" s="30" t="s">
        <v>52</v>
      </c>
      <c r="H304" s="30"/>
      <c r="I304" s="30"/>
      <c r="J304" s="30"/>
      <c r="K304" s="30" t="s">
        <v>686</v>
      </c>
      <c r="L304" s="30" t="s">
        <v>685</v>
      </c>
      <c r="M304" s="30">
        <v>2</v>
      </c>
      <c r="N304" s="30"/>
      <c r="O304" s="23"/>
      <c r="P304" s="23"/>
      <c r="Q304" s="23"/>
      <c r="R304" s="23"/>
      <c r="S304" s="23" t="s">
        <v>64</v>
      </c>
      <c r="T304" s="23"/>
      <c r="U304" s="23" t="s">
        <v>54</v>
      </c>
      <c r="V304" s="23"/>
      <c r="W304" s="31">
        <v>13.795999999999999</v>
      </c>
      <c r="Y304" t="s">
        <v>40</v>
      </c>
      <c r="Z304" t="s">
        <v>53</v>
      </c>
      <c r="AA304" t="s">
        <v>51</v>
      </c>
      <c r="AB304" t="s">
        <v>439</v>
      </c>
      <c r="AF304" t="s">
        <v>1437</v>
      </c>
      <c r="AG304" t="s">
        <v>58</v>
      </c>
      <c r="BX304" t="s">
        <v>686</v>
      </c>
    </row>
    <row r="305" spans="1:98" hidden="1">
      <c r="A305" s="29" t="s">
        <v>687</v>
      </c>
      <c r="B305" s="29" t="s">
        <v>79</v>
      </c>
      <c r="C305" s="30">
        <v>1</v>
      </c>
      <c r="D305" s="30" t="s">
        <v>688</v>
      </c>
      <c r="E305" s="30">
        <v>2</v>
      </c>
      <c r="F305" s="30"/>
      <c r="G305" s="30" t="s">
        <v>52</v>
      </c>
      <c r="H305" s="30"/>
      <c r="I305" s="30"/>
      <c r="J305" s="30"/>
      <c r="K305" s="30" t="s">
        <v>689</v>
      </c>
      <c r="L305" s="30" t="s">
        <v>688</v>
      </c>
      <c r="M305" s="30">
        <v>4</v>
      </c>
      <c r="N305" s="30"/>
      <c r="O305" s="23"/>
      <c r="P305" s="23"/>
      <c r="Q305" s="23"/>
      <c r="R305" s="23"/>
      <c r="S305" s="23" t="s">
        <v>64</v>
      </c>
      <c r="T305" s="23"/>
      <c r="U305" s="23" t="s">
        <v>54</v>
      </c>
      <c r="V305" s="23"/>
      <c r="W305" s="31">
        <v>0.71899999999999997</v>
      </c>
      <c r="Y305" t="s">
        <v>40</v>
      </c>
      <c r="Z305" t="s">
        <v>53</v>
      </c>
      <c r="AA305" t="s">
        <v>51</v>
      </c>
      <c r="AB305" t="s">
        <v>439</v>
      </c>
      <c r="AC305" t="s">
        <v>1420</v>
      </c>
      <c r="AF305" t="s">
        <v>1437</v>
      </c>
      <c r="AG305" t="s">
        <v>58</v>
      </c>
      <c r="BX305" t="s">
        <v>689</v>
      </c>
    </row>
    <row r="306" spans="1:98" hidden="1">
      <c r="A306" s="32" t="s">
        <v>690</v>
      </c>
      <c r="B306" s="32" t="s">
        <v>83</v>
      </c>
      <c r="C306" s="23">
        <v>1</v>
      </c>
      <c r="D306" s="23">
        <v>3670100</v>
      </c>
      <c r="E306" s="23">
        <v>2</v>
      </c>
      <c r="F306" s="23">
        <v>5.5E-2</v>
      </c>
      <c r="G306" s="23" t="s">
        <v>89</v>
      </c>
      <c r="H306" s="23">
        <v>150</v>
      </c>
      <c r="I306" s="23" t="s">
        <v>85</v>
      </c>
      <c r="J306" s="23">
        <v>185</v>
      </c>
      <c r="K306" s="23" t="s">
        <v>188</v>
      </c>
      <c r="L306" s="23" t="s">
        <v>688</v>
      </c>
      <c r="M306" s="23"/>
      <c r="N306" s="23"/>
      <c r="O306" s="23"/>
      <c r="P306" s="23"/>
      <c r="Q306" s="23"/>
      <c r="R306" s="23"/>
      <c r="S306" s="23" t="s">
        <v>64</v>
      </c>
      <c r="T306" s="23"/>
      <c r="U306" s="23" t="s">
        <v>87</v>
      </c>
      <c r="V306" s="23"/>
      <c r="W306" s="33">
        <v>0</v>
      </c>
      <c r="Y306" t="s">
        <v>161</v>
      </c>
      <c r="Z306" t="s">
        <v>53</v>
      </c>
      <c r="AA306" t="s">
        <v>51</v>
      </c>
      <c r="AB306" t="s">
        <v>439</v>
      </c>
      <c r="AC306" t="s">
        <v>1420</v>
      </c>
      <c r="AF306" t="s">
        <v>1437</v>
      </c>
      <c r="AG306" t="s">
        <v>58</v>
      </c>
      <c r="AI306" t="str">
        <f>BY306&amp;"_"&amp;CB306&amp;"_"&amp;L306&amp;"_p"&amp;C306&amp;"_"&amp;E306&amp;"st_"&amp;AK306&amp;"_"&amp;RIGHT(AG306,4)&amp;"_"&amp;AL306</f>
        <v>5_S235_SL40062244_p1_2st__2050_</v>
      </c>
      <c r="AM306" t="s">
        <v>1673</v>
      </c>
      <c r="AZ306" s="64" t="s">
        <v>1567</v>
      </c>
      <c r="BA306" s="64" t="s">
        <v>1568</v>
      </c>
      <c r="BX306" t="s">
        <v>1691</v>
      </c>
      <c r="BY306">
        <v>5</v>
      </c>
      <c r="BZ306" t="s">
        <v>1692</v>
      </c>
      <c r="CA306" t="s">
        <v>1693</v>
      </c>
      <c r="CB306" t="s">
        <v>1895</v>
      </c>
      <c r="CG306">
        <v>5</v>
      </c>
      <c r="CH306" t="s">
        <v>1895</v>
      </c>
      <c r="CI306" t="s">
        <v>688</v>
      </c>
      <c r="CJ306" t="s">
        <v>1898</v>
      </c>
      <c r="CK306" t="s">
        <v>1899</v>
      </c>
      <c r="CL306" t="s">
        <v>1900</v>
      </c>
      <c r="CM306">
        <v>3656</v>
      </c>
      <c r="CR306" t="s">
        <v>2006</v>
      </c>
    </row>
    <row r="307" spans="1:98" hidden="1">
      <c r="A307" s="29" t="s">
        <v>691</v>
      </c>
      <c r="B307" s="29" t="s">
        <v>79</v>
      </c>
      <c r="C307" s="30">
        <v>2</v>
      </c>
      <c r="D307" s="30" t="s">
        <v>692</v>
      </c>
      <c r="E307" s="30">
        <v>1</v>
      </c>
      <c r="F307" s="30"/>
      <c r="G307" s="30" t="s">
        <v>52</v>
      </c>
      <c r="H307" s="30"/>
      <c r="I307" s="30"/>
      <c r="J307" s="30"/>
      <c r="K307" s="30" t="s">
        <v>693</v>
      </c>
      <c r="L307" s="30" t="s">
        <v>692</v>
      </c>
      <c r="M307" s="30">
        <v>3</v>
      </c>
      <c r="N307" s="30"/>
      <c r="O307" s="23"/>
      <c r="P307" s="23"/>
      <c r="Q307" s="23"/>
      <c r="R307" s="23"/>
      <c r="S307" s="23" t="s">
        <v>64</v>
      </c>
      <c r="T307" s="23"/>
      <c r="U307" s="23" t="s">
        <v>54</v>
      </c>
      <c r="V307" s="23"/>
      <c r="W307" s="31">
        <v>11.981999999999999</v>
      </c>
      <c r="Y307" t="s">
        <v>40</v>
      </c>
      <c r="Z307" t="s">
        <v>53</v>
      </c>
      <c r="AA307" t="s">
        <v>51</v>
      </c>
      <c r="AB307" t="s">
        <v>439</v>
      </c>
      <c r="AF307" t="s">
        <v>1437</v>
      </c>
      <c r="AG307" t="s">
        <v>58</v>
      </c>
      <c r="BX307" t="s">
        <v>693</v>
      </c>
    </row>
    <row r="308" spans="1:98" hidden="1">
      <c r="A308" s="29" t="s">
        <v>694</v>
      </c>
      <c r="B308" s="29" t="s">
        <v>83</v>
      </c>
      <c r="C308" s="30">
        <v>1</v>
      </c>
      <c r="D308" s="30" t="s">
        <v>695</v>
      </c>
      <c r="E308" s="30">
        <v>2</v>
      </c>
      <c r="F308" s="30"/>
      <c r="G308" s="30" t="s">
        <v>52</v>
      </c>
      <c r="H308" s="30"/>
      <c r="I308" s="30"/>
      <c r="J308" s="30"/>
      <c r="K308" s="30" t="s">
        <v>696</v>
      </c>
      <c r="L308" s="30" t="s">
        <v>695</v>
      </c>
      <c r="M308" s="30">
        <v>3</v>
      </c>
      <c r="N308" s="30"/>
      <c r="O308" s="23"/>
      <c r="P308" s="23"/>
      <c r="Q308" s="23"/>
      <c r="R308" s="23"/>
      <c r="S308" s="23" t="s">
        <v>64</v>
      </c>
      <c r="T308" s="23"/>
      <c r="U308" s="23" t="s">
        <v>54</v>
      </c>
      <c r="V308" s="23"/>
      <c r="W308" s="31">
        <v>0.98499999999999999</v>
      </c>
      <c r="Y308" t="s">
        <v>40</v>
      </c>
      <c r="Z308" t="s">
        <v>53</v>
      </c>
      <c r="AA308" t="s">
        <v>51</v>
      </c>
      <c r="AB308" t="s">
        <v>439</v>
      </c>
      <c r="AF308" t="s">
        <v>1437</v>
      </c>
      <c r="AG308" t="s">
        <v>58</v>
      </c>
      <c r="BX308" t="s">
        <v>696</v>
      </c>
    </row>
    <row r="309" spans="1:98" s="79" customFormat="1">
      <c r="A309" s="80" t="s">
        <v>697</v>
      </c>
      <c r="B309" s="80" t="s">
        <v>220</v>
      </c>
      <c r="C309" s="81">
        <v>1</v>
      </c>
      <c r="D309" s="81">
        <v>3029300</v>
      </c>
      <c r="E309" s="81">
        <v>2</v>
      </c>
      <c r="F309" s="81">
        <v>0.154</v>
      </c>
      <c r="G309" s="81" t="s">
        <v>89</v>
      </c>
      <c r="H309" s="81">
        <v>397</v>
      </c>
      <c r="I309" s="81" t="s">
        <v>85</v>
      </c>
      <c r="J309" s="81">
        <v>195</v>
      </c>
      <c r="K309" s="81" t="s">
        <v>591</v>
      </c>
      <c r="L309" s="81" t="s">
        <v>695</v>
      </c>
      <c r="M309" s="81"/>
      <c r="N309" s="81"/>
      <c r="O309" s="23"/>
      <c r="P309" s="23"/>
      <c r="Q309" s="23"/>
      <c r="R309" s="23"/>
      <c r="S309" s="23" t="s">
        <v>64</v>
      </c>
      <c r="T309" s="23"/>
      <c r="U309" s="23" t="s">
        <v>87</v>
      </c>
      <c r="V309" s="23"/>
      <c r="W309" s="82">
        <v>0</v>
      </c>
      <c r="Y309" s="79" t="s">
        <v>161</v>
      </c>
      <c r="Z309" s="79" t="s">
        <v>53</v>
      </c>
      <c r="AA309" s="79" t="s">
        <v>51</v>
      </c>
      <c r="AB309" s="79" t="s">
        <v>439</v>
      </c>
      <c r="AF309" s="79" t="s">
        <v>1437</v>
      </c>
      <c r="AG309" s="79" t="s">
        <v>58</v>
      </c>
      <c r="AI309" s="79" t="str">
        <f>BY309&amp;"_"&amp;CB309&amp;"_"&amp;L309&amp;"_p"&amp;C309&amp;"_"&amp;E309&amp;"st_"&amp;AK309&amp;"_"&amp;RIGHT(AG309,4)&amp;"_"&amp;AL309</f>
        <v>2_oc_SL40062903_p1_2st_G_2050_</v>
      </c>
      <c r="AK309" s="79" t="s">
        <v>1900</v>
      </c>
      <c r="AM309" s="79" t="s">
        <v>1675</v>
      </c>
      <c r="AO309"/>
      <c r="AP309"/>
      <c r="AQ309"/>
      <c r="AR309"/>
      <c r="AS309"/>
      <c r="AT309"/>
      <c r="AU309"/>
      <c r="AV309"/>
      <c r="AW309"/>
      <c r="AX309"/>
      <c r="AY309"/>
      <c r="AZ309" s="83" t="s">
        <v>1569</v>
      </c>
      <c r="BA309" s="83" t="s">
        <v>1570</v>
      </c>
      <c r="BX309" s="79" t="s">
        <v>1691</v>
      </c>
      <c r="BY309" s="79">
        <v>2</v>
      </c>
      <c r="BZ309" s="79" t="s">
        <v>1742</v>
      </c>
      <c r="CA309" s="79" t="s">
        <v>1743</v>
      </c>
      <c r="CB309" s="79" t="s">
        <v>1897</v>
      </c>
      <c r="CG309" s="79">
        <v>2</v>
      </c>
      <c r="CH309" s="79" t="s">
        <v>1897</v>
      </c>
      <c r="CI309" s="79" t="s">
        <v>695</v>
      </c>
      <c r="CJ309" s="79" t="s">
        <v>1898</v>
      </c>
      <c r="CK309" s="79" t="s">
        <v>1899</v>
      </c>
      <c r="CL309" s="79" t="s">
        <v>1900</v>
      </c>
      <c r="CM309" s="79">
        <v>1583</v>
      </c>
      <c r="CR309" s="79" t="s">
        <v>2007</v>
      </c>
      <c r="CT309" s="79" t="s">
        <v>1900</v>
      </c>
    </row>
    <row r="310" spans="1:98" hidden="1">
      <c r="A310" s="32" t="s">
        <v>698</v>
      </c>
      <c r="B310" s="32" t="s">
        <v>220</v>
      </c>
      <c r="C310" s="23">
        <v>2</v>
      </c>
      <c r="D310" s="23">
        <v>7900300</v>
      </c>
      <c r="E310" s="23">
        <v>8</v>
      </c>
      <c r="F310" s="23"/>
      <c r="G310" s="23" t="s">
        <v>52</v>
      </c>
      <c r="H310" s="23"/>
      <c r="I310" s="23"/>
      <c r="J310" s="23"/>
      <c r="K310" s="23" t="s">
        <v>699</v>
      </c>
      <c r="L310" s="23" t="s">
        <v>695</v>
      </c>
      <c r="M310" s="23"/>
      <c r="N310" s="23"/>
      <c r="O310" s="23"/>
      <c r="P310" s="23"/>
      <c r="Q310" s="23"/>
      <c r="R310" s="23"/>
      <c r="S310" s="23" t="s">
        <v>64</v>
      </c>
      <c r="T310" s="23"/>
      <c r="U310" s="23" t="s">
        <v>17</v>
      </c>
      <c r="V310" s="23"/>
      <c r="W310" s="33">
        <v>0.01</v>
      </c>
      <c r="Y310" t="s">
        <v>124</v>
      </c>
      <c r="Z310" t="s">
        <v>53</v>
      </c>
      <c r="AA310" t="s">
        <v>51</v>
      </c>
      <c r="AB310" t="s">
        <v>439</v>
      </c>
      <c r="AF310" t="s">
        <v>1437</v>
      </c>
      <c r="AG310" t="s">
        <v>58</v>
      </c>
      <c r="BX310" t="s">
        <v>1799</v>
      </c>
      <c r="BY310" t="s">
        <v>229</v>
      </c>
      <c r="BZ310" t="s">
        <v>1800</v>
      </c>
      <c r="CA310" t="s">
        <v>1801</v>
      </c>
      <c r="CB310" t="s">
        <v>1802</v>
      </c>
    </row>
    <row r="311" spans="1:98" hidden="1">
      <c r="A311" s="29" t="s">
        <v>700</v>
      </c>
      <c r="B311" s="29" t="s">
        <v>83</v>
      </c>
      <c r="C311" s="30">
        <v>2</v>
      </c>
      <c r="D311" s="30" t="s">
        <v>701</v>
      </c>
      <c r="E311" s="30">
        <v>1</v>
      </c>
      <c r="F311" s="30"/>
      <c r="G311" s="30" t="s">
        <v>52</v>
      </c>
      <c r="H311" s="30"/>
      <c r="I311" s="30"/>
      <c r="J311" s="30"/>
      <c r="K311" s="30" t="s">
        <v>702</v>
      </c>
      <c r="L311" s="30" t="s">
        <v>701</v>
      </c>
      <c r="M311" s="30">
        <v>3</v>
      </c>
      <c r="N311" s="30"/>
      <c r="O311" s="23"/>
      <c r="P311" s="23"/>
      <c r="Q311" s="23"/>
      <c r="R311" s="23"/>
      <c r="S311" s="23" t="s">
        <v>64</v>
      </c>
      <c r="T311" s="23"/>
      <c r="U311" s="23" t="s">
        <v>54</v>
      </c>
      <c r="V311" s="23"/>
      <c r="W311" s="31">
        <v>2.4420000000000002</v>
      </c>
      <c r="Y311" t="s">
        <v>40</v>
      </c>
      <c r="Z311" t="s">
        <v>53</v>
      </c>
      <c r="AA311" t="s">
        <v>51</v>
      </c>
      <c r="AB311" t="s">
        <v>439</v>
      </c>
      <c r="AF311" t="s">
        <v>1437</v>
      </c>
      <c r="AG311" t="s">
        <v>58</v>
      </c>
      <c r="BX311" t="s">
        <v>702</v>
      </c>
    </row>
    <row r="312" spans="1:98" ht="45" hidden="1" customHeight="1">
      <c r="A312" s="32" t="s">
        <v>703</v>
      </c>
      <c r="B312" s="32" t="s">
        <v>220</v>
      </c>
      <c r="C312" s="23">
        <v>1</v>
      </c>
      <c r="D312" s="23">
        <v>6406100</v>
      </c>
      <c r="E312" s="23">
        <v>1</v>
      </c>
      <c r="F312" s="23">
        <v>0.63700000000000001</v>
      </c>
      <c r="G312" s="23" t="s">
        <v>89</v>
      </c>
      <c r="H312" s="23" t="s">
        <v>704</v>
      </c>
      <c r="I312" s="23" t="s">
        <v>85</v>
      </c>
      <c r="J312" s="23">
        <v>543</v>
      </c>
      <c r="K312" s="34" t="s">
        <v>705</v>
      </c>
      <c r="L312" s="23" t="s">
        <v>701</v>
      </c>
      <c r="M312" s="23"/>
      <c r="N312" s="23"/>
      <c r="O312" s="23"/>
      <c r="P312" s="23"/>
      <c r="Q312" s="23"/>
      <c r="R312" s="23"/>
      <c r="S312" s="23" t="s">
        <v>64</v>
      </c>
      <c r="T312" s="23"/>
      <c r="U312" s="23" t="s">
        <v>17</v>
      </c>
      <c r="V312" s="23"/>
      <c r="W312" s="33">
        <v>0</v>
      </c>
      <c r="Y312" t="s">
        <v>706</v>
      </c>
      <c r="Z312" t="s">
        <v>53</v>
      </c>
      <c r="AA312" t="s">
        <v>51</v>
      </c>
      <c r="AB312" t="s">
        <v>439</v>
      </c>
      <c r="AF312" t="s">
        <v>1437</v>
      </c>
      <c r="AG312" t="s">
        <v>58</v>
      </c>
      <c r="BX312" t="s">
        <v>1803</v>
      </c>
    </row>
    <row r="313" spans="1:98" hidden="1">
      <c r="A313" s="29" t="s">
        <v>707</v>
      </c>
      <c r="B313" s="29" t="s">
        <v>83</v>
      </c>
      <c r="C313" s="30">
        <v>3</v>
      </c>
      <c r="D313" s="30" t="s">
        <v>708</v>
      </c>
      <c r="E313" s="30">
        <v>2</v>
      </c>
      <c r="F313" s="30"/>
      <c r="G313" s="30" t="s">
        <v>52</v>
      </c>
      <c r="H313" s="30"/>
      <c r="I313" s="30"/>
      <c r="J313" s="30"/>
      <c r="K313" s="30" t="s">
        <v>709</v>
      </c>
      <c r="L313" s="30" t="s">
        <v>708</v>
      </c>
      <c r="M313" s="30">
        <v>4</v>
      </c>
      <c r="N313" s="30"/>
      <c r="O313" s="23"/>
      <c r="P313" s="23"/>
      <c r="Q313" s="23"/>
      <c r="R313" s="23"/>
      <c r="S313" s="23" t="s">
        <v>64</v>
      </c>
      <c r="T313" s="23"/>
      <c r="U313" s="23" t="s">
        <v>54</v>
      </c>
      <c r="V313" s="23"/>
      <c r="W313" s="31">
        <v>3.4590000000000001</v>
      </c>
      <c r="Y313" t="s">
        <v>40</v>
      </c>
      <c r="Z313" t="s">
        <v>53</v>
      </c>
      <c r="AA313" t="s">
        <v>51</v>
      </c>
      <c r="AB313" t="s">
        <v>439</v>
      </c>
      <c r="AF313" t="s">
        <v>1437</v>
      </c>
      <c r="AG313" t="s">
        <v>58</v>
      </c>
      <c r="BX313" t="s">
        <v>709</v>
      </c>
    </row>
    <row r="314" spans="1:98" hidden="1">
      <c r="A314" s="32" t="s">
        <v>710</v>
      </c>
      <c r="B314" s="32" t="s">
        <v>220</v>
      </c>
      <c r="C314" s="23">
        <v>1</v>
      </c>
      <c r="D314" s="23">
        <v>4667100</v>
      </c>
      <c r="E314" s="23">
        <v>2</v>
      </c>
      <c r="F314" s="23" t="s">
        <v>711</v>
      </c>
      <c r="G314" s="23" t="s">
        <v>85</v>
      </c>
      <c r="H314" s="23" t="s">
        <v>712</v>
      </c>
      <c r="I314" s="23" t="s">
        <v>85</v>
      </c>
      <c r="J314" s="23">
        <v>0</v>
      </c>
      <c r="K314" s="23" t="s">
        <v>713</v>
      </c>
      <c r="L314" s="23" t="s">
        <v>708</v>
      </c>
      <c r="M314" s="23"/>
      <c r="N314" s="23"/>
      <c r="O314" s="23"/>
      <c r="P314" s="23"/>
      <c r="Q314" s="23"/>
      <c r="R314" s="23"/>
      <c r="S314" s="23" t="s">
        <v>64</v>
      </c>
      <c r="T314" s="23"/>
      <c r="U314" s="23" t="s">
        <v>87</v>
      </c>
      <c r="V314" s="23"/>
      <c r="W314" s="33">
        <v>0</v>
      </c>
      <c r="Y314" t="s">
        <v>365</v>
      </c>
      <c r="Z314" t="s">
        <v>53</v>
      </c>
      <c r="AA314" t="s">
        <v>51</v>
      </c>
      <c r="AB314" t="s">
        <v>439</v>
      </c>
      <c r="AF314" t="s">
        <v>1437</v>
      </c>
      <c r="AG314" t="s">
        <v>58</v>
      </c>
      <c r="BX314" t="s">
        <v>1790</v>
      </c>
      <c r="BY314" t="s">
        <v>1804</v>
      </c>
      <c r="BZ314" t="s">
        <v>1792</v>
      </c>
      <c r="CA314" t="s">
        <v>1737</v>
      </c>
    </row>
    <row r="315" spans="1:98" hidden="1">
      <c r="A315" s="32" t="s">
        <v>714</v>
      </c>
      <c r="B315" s="32" t="s">
        <v>83</v>
      </c>
      <c r="C315" s="23">
        <v>101</v>
      </c>
      <c r="D315" s="23">
        <v>24755600</v>
      </c>
      <c r="E315" s="23">
        <v>12</v>
      </c>
      <c r="F315" s="23"/>
      <c r="G315" s="23" t="s">
        <v>52</v>
      </c>
      <c r="H315" s="23" t="s">
        <v>715</v>
      </c>
      <c r="I315" s="23"/>
      <c r="J315" s="23"/>
      <c r="K315" s="23" t="s">
        <v>716</v>
      </c>
      <c r="L315" s="23" t="s">
        <v>708</v>
      </c>
      <c r="M315" s="23"/>
      <c r="N315" s="23"/>
      <c r="O315" s="23"/>
      <c r="P315" s="23"/>
      <c r="Q315" s="23"/>
      <c r="R315" s="23"/>
      <c r="S315" s="23" t="s">
        <v>64</v>
      </c>
      <c r="T315" s="23"/>
      <c r="U315" s="23" t="s">
        <v>17</v>
      </c>
      <c r="V315" s="23"/>
      <c r="W315" s="33">
        <v>2.9000000000000001E-2</v>
      </c>
      <c r="Y315" t="s">
        <v>124</v>
      </c>
      <c r="Z315" t="s">
        <v>53</v>
      </c>
      <c r="AA315" t="s">
        <v>51</v>
      </c>
      <c r="AB315" t="s">
        <v>439</v>
      </c>
      <c r="AF315" t="s">
        <v>1437</v>
      </c>
      <c r="AG315" t="s">
        <v>58</v>
      </c>
      <c r="BX315" t="s">
        <v>1713</v>
      </c>
      <c r="BY315" t="s">
        <v>715</v>
      </c>
      <c r="BZ315" t="s">
        <v>1714</v>
      </c>
      <c r="CA315" s="76">
        <v>46242</v>
      </c>
      <c r="CB315" t="s">
        <v>1740</v>
      </c>
    </row>
    <row r="316" spans="1:98" hidden="1">
      <c r="A316" s="32" t="s">
        <v>717</v>
      </c>
      <c r="B316" s="32" t="s">
        <v>83</v>
      </c>
      <c r="C316" s="23">
        <v>102</v>
      </c>
      <c r="D316" s="23">
        <v>6475200</v>
      </c>
      <c r="E316" s="23">
        <v>4</v>
      </c>
      <c r="F316" s="23"/>
      <c r="G316" s="23" t="s">
        <v>52</v>
      </c>
      <c r="H316" s="23"/>
      <c r="I316" s="23"/>
      <c r="J316" s="23"/>
      <c r="K316" s="23" t="s">
        <v>718</v>
      </c>
      <c r="L316" s="23" t="s">
        <v>708</v>
      </c>
      <c r="M316" s="23"/>
      <c r="N316" s="23"/>
      <c r="O316" s="23"/>
      <c r="P316" s="23"/>
      <c r="Q316" s="23"/>
      <c r="R316" s="23"/>
      <c r="S316" s="23" t="s">
        <v>64</v>
      </c>
      <c r="T316" s="23"/>
      <c r="U316" s="23" t="s">
        <v>17</v>
      </c>
      <c r="V316" s="23"/>
      <c r="W316" s="33">
        <v>7.0000000000000007E-2</v>
      </c>
      <c r="Y316" t="s">
        <v>124</v>
      </c>
      <c r="Z316" t="s">
        <v>53</v>
      </c>
      <c r="AA316" t="s">
        <v>51</v>
      </c>
      <c r="AB316" t="s">
        <v>439</v>
      </c>
      <c r="AF316" t="s">
        <v>1437</v>
      </c>
      <c r="AG316" t="s">
        <v>58</v>
      </c>
      <c r="BX316" t="s">
        <v>1719</v>
      </c>
      <c r="BY316">
        <v>10</v>
      </c>
      <c r="BZ316" t="s">
        <v>1805</v>
      </c>
      <c r="CA316" t="s">
        <v>1806</v>
      </c>
    </row>
    <row r="317" spans="1:98" hidden="1">
      <c r="A317" s="32" t="s">
        <v>719</v>
      </c>
      <c r="B317" s="32" t="s">
        <v>83</v>
      </c>
      <c r="C317" s="23">
        <v>103</v>
      </c>
      <c r="D317" s="23">
        <v>2600700</v>
      </c>
      <c r="E317" s="23">
        <v>8</v>
      </c>
      <c r="F317" s="23"/>
      <c r="G317" s="23" t="s">
        <v>52</v>
      </c>
      <c r="H317" s="23"/>
      <c r="I317" s="23"/>
      <c r="J317" s="23"/>
      <c r="K317" s="23" t="s">
        <v>263</v>
      </c>
      <c r="L317" s="23" t="s">
        <v>708</v>
      </c>
      <c r="M317" s="23"/>
      <c r="N317" s="23"/>
      <c r="O317" s="23"/>
      <c r="P317" s="23"/>
      <c r="Q317" s="23"/>
      <c r="R317" s="23"/>
      <c r="S317" s="23" t="s">
        <v>64</v>
      </c>
      <c r="T317" s="23"/>
      <c r="U317" s="23" t="s">
        <v>17</v>
      </c>
      <c r="V317" s="23"/>
      <c r="W317" s="33">
        <v>3.0000000000000001E-3</v>
      </c>
      <c r="Y317" t="s">
        <v>124</v>
      </c>
      <c r="Z317" t="s">
        <v>53</v>
      </c>
      <c r="AA317" t="s">
        <v>51</v>
      </c>
      <c r="AB317" t="s">
        <v>439</v>
      </c>
      <c r="AF317" t="s">
        <v>1437</v>
      </c>
      <c r="AG317" t="s">
        <v>58</v>
      </c>
      <c r="BX317" t="s">
        <v>1719</v>
      </c>
      <c r="BY317" t="s">
        <v>229</v>
      </c>
      <c r="BZ317" t="s">
        <v>1748</v>
      </c>
      <c r="CA317" t="s">
        <v>1749</v>
      </c>
      <c r="CB317" t="s">
        <v>1715</v>
      </c>
      <c r="CC317" t="s">
        <v>1716</v>
      </c>
    </row>
    <row r="318" spans="1:98" hidden="1">
      <c r="A318" s="32" t="s">
        <v>720</v>
      </c>
      <c r="B318" s="32" t="s">
        <v>79</v>
      </c>
      <c r="C318" s="23">
        <v>101</v>
      </c>
      <c r="D318" s="23">
        <v>24379100</v>
      </c>
      <c r="E318" s="23">
        <v>4</v>
      </c>
      <c r="F318" s="23"/>
      <c r="G318" s="23" t="s">
        <v>52</v>
      </c>
      <c r="H318" s="23" t="s">
        <v>272</v>
      </c>
      <c r="I318" s="23"/>
      <c r="J318" s="23"/>
      <c r="K318" s="23" t="s">
        <v>273</v>
      </c>
      <c r="L318" s="23" t="s">
        <v>708</v>
      </c>
      <c r="M318" s="23"/>
      <c r="N318" s="23"/>
      <c r="O318" s="23"/>
      <c r="P318" s="23"/>
      <c r="Q318" s="23"/>
      <c r="R318" s="23"/>
      <c r="S318" s="23" t="s">
        <v>64</v>
      </c>
      <c r="T318" s="23"/>
      <c r="U318" s="23" t="s">
        <v>17</v>
      </c>
      <c r="V318" s="23"/>
      <c r="W318" s="33">
        <v>4.1000000000000002E-2</v>
      </c>
      <c r="Y318" t="s">
        <v>124</v>
      </c>
      <c r="Z318" t="s">
        <v>53</v>
      </c>
      <c r="AA318" t="s">
        <v>51</v>
      </c>
      <c r="AB318" t="s">
        <v>439</v>
      </c>
      <c r="AF318" t="s">
        <v>1437</v>
      </c>
      <c r="AG318" t="s">
        <v>58</v>
      </c>
      <c r="BX318" t="s">
        <v>1713</v>
      </c>
      <c r="BY318" t="s">
        <v>272</v>
      </c>
      <c r="BZ318" t="s">
        <v>1714</v>
      </c>
      <c r="CA318" s="76">
        <v>46242</v>
      </c>
      <c r="CB318" t="s">
        <v>1715</v>
      </c>
      <c r="CC318" t="s">
        <v>1716</v>
      </c>
    </row>
    <row r="319" spans="1:98" hidden="1">
      <c r="A319" s="32" t="s">
        <v>721</v>
      </c>
      <c r="B319" s="32" t="s">
        <v>79</v>
      </c>
      <c r="C319" s="23">
        <v>102</v>
      </c>
      <c r="D319" s="23">
        <v>24707900</v>
      </c>
      <c r="E319" s="23">
        <v>4</v>
      </c>
      <c r="F319" s="23"/>
      <c r="G319" s="23" t="s">
        <v>52</v>
      </c>
      <c r="H319" s="23" t="s">
        <v>275</v>
      </c>
      <c r="I319" s="23"/>
      <c r="J319" s="23"/>
      <c r="K319" s="23" t="s">
        <v>276</v>
      </c>
      <c r="L319" s="23" t="s">
        <v>708</v>
      </c>
      <c r="M319" s="23"/>
      <c r="N319" s="23"/>
      <c r="O319" s="23"/>
      <c r="P319" s="23"/>
      <c r="Q319" s="23"/>
      <c r="R319" s="23"/>
      <c r="S319" s="23" t="s">
        <v>64</v>
      </c>
      <c r="T319" s="23"/>
      <c r="U319" s="23" t="s">
        <v>17</v>
      </c>
      <c r="V319" s="23"/>
      <c r="W319" s="33">
        <v>1.7000000000000001E-2</v>
      </c>
      <c r="Y319" t="s">
        <v>124</v>
      </c>
      <c r="Z319" t="s">
        <v>53</v>
      </c>
      <c r="AA319" t="s">
        <v>51</v>
      </c>
      <c r="AB319" t="s">
        <v>439</v>
      </c>
      <c r="AF319" t="s">
        <v>1437</v>
      </c>
      <c r="AG319" t="s">
        <v>58</v>
      </c>
      <c r="BX319" t="s">
        <v>1717</v>
      </c>
      <c r="BY319" t="s">
        <v>275</v>
      </c>
      <c r="BZ319" t="s">
        <v>1718</v>
      </c>
      <c r="CA319">
        <v>8</v>
      </c>
      <c r="CB319" t="s">
        <v>1715</v>
      </c>
      <c r="CC319" t="s">
        <v>1716</v>
      </c>
    </row>
    <row r="320" spans="1:98" hidden="1">
      <c r="A320" s="32" t="s">
        <v>722</v>
      </c>
      <c r="B320" s="32" t="s">
        <v>79</v>
      </c>
      <c r="C320" s="23">
        <v>103</v>
      </c>
      <c r="D320" s="23">
        <v>24484200</v>
      </c>
      <c r="E320" s="23">
        <v>8</v>
      </c>
      <c r="F320" s="23"/>
      <c r="G320" s="23" t="s">
        <v>52</v>
      </c>
      <c r="H320" s="23">
        <v>13</v>
      </c>
      <c r="I320" s="23"/>
      <c r="J320" s="23"/>
      <c r="K320" s="23" t="s">
        <v>278</v>
      </c>
      <c r="L320" s="23" t="s">
        <v>708</v>
      </c>
      <c r="M320" s="23"/>
      <c r="N320" s="23"/>
      <c r="O320" s="23"/>
      <c r="P320" s="23"/>
      <c r="Q320" s="23"/>
      <c r="R320" s="23"/>
      <c r="S320" s="23" t="s">
        <v>64</v>
      </c>
      <c r="T320" s="23"/>
      <c r="U320" s="23" t="s">
        <v>17</v>
      </c>
      <c r="V320" s="23"/>
      <c r="W320" s="33">
        <v>0.01</v>
      </c>
      <c r="Y320" t="s">
        <v>124</v>
      </c>
      <c r="Z320" t="s">
        <v>53</v>
      </c>
      <c r="AA320" t="s">
        <v>51</v>
      </c>
      <c r="AB320" t="s">
        <v>439</v>
      </c>
      <c r="AF320" t="s">
        <v>1437</v>
      </c>
      <c r="AG320" t="s">
        <v>58</v>
      </c>
      <c r="BX320" t="s">
        <v>1719</v>
      </c>
      <c r="BY320">
        <v>13</v>
      </c>
      <c r="BZ320" t="s">
        <v>763</v>
      </c>
      <c r="CA320" t="s">
        <v>1720</v>
      </c>
      <c r="CB320" t="s">
        <v>1721</v>
      </c>
    </row>
    <row r="321" spans="1:104" hidden="1">
      <c r="A321" s="32" t="s">
        <v>723</v>
      </c>
      <c r="B321" s="32" t="s">
        <v>79</v>
      </c>
      <c r="C321" s="23">
        <v>105</v>
      </c>
      <c r="D321" s="23">
        <v>24398500</v>
      </c>
      <c r="E321" s="23">
        <v>4</v>
      </c>
      <c r="F321" s="23"/>
      <c r="G321" s="23" t="s">
        <v>52</v>
      </c>
      <c r="H321" s="23" t="s">
        <v>229</v>
      </c>
      <c r="I321" s="23"/>
      <c r="J321" s="23"/>
      <c r="K321" s="23" t="s">
        <v>230</v>
      </c>
      <c r="L321" s="23" t="s">
        <v>708</v>
      </c>
      <c r="M321" s="23"/>
      <c r="N321" s="23"/>
      <c r="O321" s="23"/>
      <c r="P321" s="23"/>
      <c r="Q321" s="23"/>
      <c r="R321" s="23"/>
      <c r="S321" s="23" t="s">
        <v>64</v>
      </c>
      <c r="T321" s="23"/>
      <c r="U321" s="23" t="s">
        <v>17</v>
      </c>
      <c r="V321" s="23"/>
      <c r="W321" s="33">
        <v>7.0000000000000001E-3</v>
      </c>
      <c r="Y321" t="s">
        <v>124</v>
      </c>
      <c r="Z321" t="s">
        <v>53</v>
      </c>
      <c r="AA321" t="s">
        <v>51</v>
      </c>
      <c r="AB321" t="s">
        <v>439</v>
      </c>
      <c r="AF321" t="s">
        <v>1437</v>
      </c>
      <c r="AG321" t="s">
        <v>58</v>
      </c>
      <c r="BX321" t="s">
        <v>1717</v>
      </c>
      <c r="BY321" t="s">
        <v>229</v>
      </c>
      <c r="BZ321" t="s">
        <v>1718</v>
      </c>
      <c r="CA321">
        <v>8</v>
      </c>
      <c r="CB321" t="s">
        <v>1740</v>
      </c>
    </row>
    <row r="322" spans="1:104" hidden="1">
      <c r="A322" s="32" t="s">
        <v>724</v>
      </c>
      <c r="B322" s="32" t="s">
        <v>79</v>
      </c>
      <c r="C322" s="23">
        <v>106</v>
      </c>
      <c r="D322" s="23">
        <v>2600700</v>
      </c>
      <c r="E322" s="23">
        <v>4</v>
      </c>
      <c r="F322" s="23"/>
      <c r="G322" s="23" t="s">
        <v>52</v>
      </c>
      <c r="H322" s="23"/>
      <c r="I322" s="23"/>
      <c r="J322" s="23"/>
      <c r="K322" s="23" t="s">
        <v>263</v>
      </c>
      <c r="L322" s="23" t="s">
        <v>708</v>
      </c>
      <c r="M322" s="23"/>
      <c r="N322" s="23"/>
      <c r="O322" s="23"/>
      <c r="P322" s="23"/>
      <c r="Q322" s="23"/>
      <c r="R322" s="23"/>
      <c r="S322" s="23" t="s">
        <v>64</v>
      </c>
      <c r="T322" s="23"/>
      <c r="U322" s="23" t="s">
        <v>17</v>
      </c>
      <c r="V322" s="23"/>
      <c r="W322" s="33">
        <v>3.0000000000000001E-3</v>
      </c>
      <c r="Y322" t="s">
        <v>124</v>
      </c>
      <c r="Z322" t="s">
        <v>53</v>
      </c>
      <c r="AA322" t="s">
        <v>51</v>
      </c>
      <c r="AB322" t="s">
        <v>439</v>
      </c>
      <c r="AF322" t="s">
        <v>1437</v>
      </c>
      <c r="AG322" t="s">
        <v>58</v>
      </c>
      <c r="BX322" t="s">
        <v>1719</v>
      </c>
      <c r="BY322" t="s">
        <v>229</v>
      </c>
      <c r="BZ322" t="s">
        <v>1748</v>
      </c>
      <c r="CA322" t="s">
        <v>1749</v>
      </c>
      <c r="CB322" t="s">
        <v>1715</v>
      </c>
      <c r="CC322" t="s">
        <v>1716</v>
      </c>
    </row>
    <row r="323" spans="1:104" hidden="1">
      <c r="A323" s="29" t="s">
        <v>725</v>
      </c>
      <c r="B323" s="29" t="s">
        <v>74</v>
      </c>
      <c r="C323" s="30">
        <v>10</v>
      </c>
      <c r="D323" s="30" t="s">
        <v>726</v>
      </c>
      <c r="E323" s="30">
        <v>1</v>
      </c>
      <c r="F323" s="30"/>
      <c r="G323" s="30" t="s">
        <v>52</v>
      </c>
      <c r="H323" s="30"/>
      <c r="I323" s="30"/>
      <c r="J323" s="30"/>
      <c r="K323" s="30" t="s">
        <v>727</v>
      </c>
      <c r="L323" s="30" t="s">
        <v>726</v>
      </c>
      <c r="M323" s="30">
        <v>3</v>
      </c>
      <c r="N323" s="30"/>
      <c r="O323" s="23"/>
      <c r="P323" s="23"/>
      <c r="Q323" s="23"/>
      <c r="R323" s="23"/>
      <c r="S323" s="23" t="s">
        <v>64</v>
      </c>
      <c r="T323" s="23"/>
      <c r="U323" s="23" t="s">
        <v>54</v>
      </c>
      <c r="V323" s="23"/>
      <c r="W323" s="31">
        <v>4.476</v>
      </c>
      <c r="Y323" t="s">
        <v>40</v>
      </c>
      <c r="Z323" t="s">
        <v>53</v>
      </c>
      <c r="AA323" t="s">
        <v>51</v>
      </c>
      <c r="AB323" t="s">
        <v>439</v>
      </c>
      <c r="AF323" t="s">
        <v>1437</v>
      </c>
      <c r="AG323" t="s">
        <v>58</v>
      </c>
      <c r="BX323" t="s">
        <v>727</v>
      </c>
    </row>
    <row r="324" spans="1:104" hidden="1">
      <c r="A324" s="29" t="s">
        <v>728</v>
      </c>
      <c r="B324" s="29" t="s">
        <v>79</v>
      </c>
      <c r="C324" s="30">
        <v>1</v>
      </c>
      <c r="D324" s="30" t="s">
        <v>729</v>
      </c>
      <c r="E324" s="30">
        <v>2</v>
      </c>
      <c r="F324" s="30"/>
      <c r="G324" s="30" t="s">
        <v>52</v>
      </c>
      <c r="H324" s="30"/>
      <c r="I324" s="30"/>
      <c r="J324" s="30"/>
      <c r="K324" s="30" t="s">
        <v>730</v>
      </c>
      <c r="L324" s="30" t="s">
        <v>729</v>
      </c>
      <c r="M324" s="30">
        <v>4</v>
      </c>
      <c r="N324" s="30"/>
      <c r="O324" s="23"/>
      <c r="P324" s="23"/>
      <c r="Q324" s="23"/>
      <c r="R324" s="23"/>
      <c r="S324" s="23" t="s">
        <v>64</v>
      </c>
      <c r="T324" s="23"/>
      <c r="U324" s="23" t="s">
        <v>54</v>
      </c>
      <c r="V324" s="23"/>
      <c r="W324" s="31">
        <v>2.0819999999999999</v>
      </c>
      <c r="Y324" t="s">
        <v>40</v>
      </c>
      <c r="Z324" t="s">
        <v>53</v>
      </c>
      <c r="AA324" t="s">
        <v>51</v>
      </c>
      <c r="AB324" t="s">
        <v>439</v>
      </c>
      <c r="AC324" t="s">
        <v>1427</v>
      </c>
      <c r="AF324" t="s">
        <v>1437</v>
      </c>
      <c r="AG324" t="s">
        <v>58</v>
      </c>
      <c r="BX324" t="s">
        <v>730</v>
      </c>
    </row>
    <row r="325" spans="1:104" s="79" customFormat="1">
      <c r="A325" s="80" t="s">
        <v>731</v>
      </c>
      <c r="B325" s="80" t="s">
        <v>83</v>
      </c>
      <c r="C325" s="81">
        <v>1</v>
      </c>
      <c r="D325" s="81">
        <v>3667000</v>
      </c>
      <c r="E325" s="85">
        <v>1</v>
      </c>
      <c r="F325" s="81">
        <v>7.0999999999999994E-2</v>
      </c>
      <c r="G325" s="81" t="s">
        <v>89</v>
      </c>
      <c r="H325" s="81">
        <v>255</v>
      </c>
      <c r="I325" s="81" t="s">
        <v>85</v>
      </c>
      <c r="J325" s="81">
        <v>140</v>
      </c>
      <c r="K325" s="81" t="s">
        <v>240</v>
      </c>
      <c r="L325" s="81" t="s">
        <v>729</v>
      </c>
      <c r="M325" s="81"/>
      <c r="N325" s="81"/>
      <c r="O325" s="23"/>
      <c r="P325" s="23"/>
      <c r="Q325" s="23"/>
      <c r="R325" s="23"/>
      <c r="S325" s="23" t="s">
        <v>64</v>
      </c>
      <c r="T325" s="23"/>
      <c r="U325" s="23" t="s">
        <v>87</v>
      </c>
      <c r="V325" s="23"/>
      <c r="W325" s="82">
        <v>0</v>
      </c>
      <c r="Y325" s="79" t="s">
        <v>161</v>
      </c>
      <c r="Z325" s="79" t="s">
        <v>53</v>
      </c>
      <c r="AA325" s="79" t="s">
        <v>51</v>
      </c>
      <c r="AB325" s="79" t="s">
        <v>439</v>
      </c>
      <c r="AC325" s="79" t="s">
        <v>1938</v>
      </c>
      <c r="AF325" s="79" t="s">
        <v>1437</v>
      </c>
      <c r="AG325" s="79" t="s">
        <v>58</v>
      </c>
      <c r="AI325" s="79" t="str">
        <f>BY325&amp;"_"&amp;CB325&amp;"_"&amp;L325&amp;"_p"&amp;C325&amp;"_"&amp;E325&amp;"st_"&amp;AK325&amp;"_"&amp;RIGHT(AG325,4)&amp;"_"&amp;AL325</f>
        <v>8_S235_SL40062237_p1_1st_GS_2050_</v>
      </c>
      <c r="AK325" s="79" t="s">
        <v>1903</v>
      </c>
      <c r="AM325" s="79" t="s">
        <v>1675</v>
      </c>
      <c r="AO325"/>
      <c r="AP325"/>
      <c r="AQ325"/>
      <c r="AR325"/>
      <c r="AS325"/>
      <c r="AT325"/>
      <c r="AU325"/>
      <c r="AV325"/>
      <c r="AW325"/>
      <c r="AX325"/>
      <c r="AY325"/>
      <c r="AZ325" s="83" t="s">
        <v>1571</v>
      </c>
      <c r="BA325" s="83" t="s">
        <v>1572</v>
      </c>
      <c r="BX325" s="79" t="s">
        <v>1691</v>
      </c>
      <c r="BY325" s="79">
        <v>8</v>
      </c>
      <c r="BZ325" s="79" t="s">
        <v>1692</v>
      </c>
      <c r="CA325" s="79" t="s">
        <v>1693</v>
      </c>
      <c r="CB325" s="79" t="s">
        <v>1895</v>
      </c>
      <c r="CG325" s="79">
        <v>8</v>
      </c>
      <c r="CH325" s="79" t="s">
        <v>1895</v>
      </c>
      <c r="CI325" s="79" t="s">
        <v>729</v>
      </c>
      <c r="CJ325" s="79" t="s">
        <v>1898</v>
      </c>
      <c r="CK325" s="79" t="s">
        <v>1899</v>
      </c>
      <c r="CL325" s="79" t="s">
        <v>1903</v>
      </c>
      <c r="CM325" s="79">
        <v>3656</v>
      </c>
      <c r="CR325" s="79" t="s">
        <v>2008</v>
      </c>
      <c r="CT325" s="79" t="s">
        <v>1903</v>
      </c>
    </row>
    <row r="326" spans="1:104" hidden="1">
      <c r="A326" s="32" t="s">
        <v>732</v>
      </c>
      <c r="B326" s="32" t="s">
        <v>79</v>
      </c>
      <c r="C326" s="23">
        <v>101</v>
      </c>
      <c r="D326" s="23">
        <v>24379100</v>
      </c>
      <c r="E326" s="23">
        <v>4</v>
      </c>
      <c r="F326" s="23"/>
      <c r="G326" s="23" t="s">
        <v>52</v>
      </c>
      <c r="H326" s="23" t="s">
        <v>272</v>
      </c>
      <c r="I326" s="23"/>
      <c r="J326" s="23"/>
      <c r="K326" s="23" t="s">
        <v>273</v>
      </c>
      <c r="L326" s="23" t="s">
        <v>729</v>
      </c>
      <c r="M326" s="23"/>
      <c r="N326" s="23"/>
      <c r="O326" s="23"/>
      <c r="P326" s="23"/>
      <c r="Q326" s="23"/>
      <c r="R326" s="23"/>
      <c r="S326" s="23" t="s">
        <v>64</v>
      </c>
      <c r="T326" s="23"/>
      <c r="U326" s="23" t="s">
        <v>17</v>
      </c>
      <c r="V326" s="23"/>
      <c r="W326" s="33">
        <v>4.1000000000000002E-2</v>
      </c>
      <c r="Y326" t="s">
        <v>124</v>
      </c>
      <c r="Z326" t="s">
        <v>53</v>
      </c>
      <c r="AA326" t="s">
        <v>51</v>
      </c>
      <c r="AB326" t="s">
        <v>439</v>
      </c>
      <c r="AF326" t="s">
        <v>1437</v>
      </c>
      <c r="AG326" t="s">
        <v>58</v>
      </c>
      <c r="BX326" t="s">
        <v>1713</v>
      </c>
      <c r="BY326" t="s">
        <v>272</v>
      </c>
      <c r="BZ326" t="s">
        <v>1714</v>
      </c>
      <c r="CA326" s="76">
        <v>46242</v>
      </c>
      <c r="CB326" t="s">
        <v>1715</v>
      </c>
      <c r="CC326" t="s">
        <v>1716</v>
      </c>
    </row>
    <row r="327" spans="1:104" hidden="1">
      <c r="A327" s="32" t="s">
        <v>733</v>
      </c>
      <c r="B327" s="32" t="s">
        <v>79</v>
      </c>
      <c r="C327" s="23">
        <v>102</v>
      </c>
      <c r="D327" s="23">
        <v>24707900</v>
      </c>
      <c r="E327" s="23">
        <v>4</v>
      </c>
      <c r="F327" s="23"/>
      <c r="G327" s="23" t="s">
        <v>52</v>
      </c>
      <c r="H327" s="23" t="s">
        <v>275</v>
      </c>
      <c r="I327" s="23"/>
      <c r="J327" s="23"/>
      <c r="K327" s="23" t="s">
        <v>276</v>
      </c>
      <c r="L327" s="23" t="s">
        <v>729</v>
      </c>
      <c r="M327" s="23"/>
      <c r="N327" s="23"/>
      <c r="O327" s="23"/>
      <c r="P327" s="23"/>
      <c r="Q327" s="23"/>
      <c r="R327" s="23"/>
      <c r="S327" s="23" t="s">
        <v>64</v>
      </c>
      <c r="T327" s="23"/>
      <c r="U327" s="23" t="s">
        <v>17</v>
      </c>
      <c r="V327" s="23"/>
      <c r="W327" s="33">
        <v>1.7000000000000001E-2</v>
      </c>
      <c r="Y327" t="s">
        <v>124</v>
      </c>
      <c r="Z327" t="s">
        <v>53</v>
      </c>
      <c r="AA327" t="s">
        <v>51</v>
      </c>
      <c r="AB327" t="s">
        <v>439</v>
      </c>
      <c r="AF327" t="s">
        <v>1437</v>
      </c>
      <c r="AG327" t="s">
        <v>58</v>
      </c>
      <c r="BX327" t="s">
        <v>1717</v>
      </c>
      <c r="BY327" t="s">
        <v>275</v>
      </c>
      <c r="BZ327" t="s">
        <v>1718</v>
      </c>
      <c r="CA327">
        <v>8</v>
      </c>
      <c r="CB327" t="s">
        <v>1715</v>
      </c>
      <c r="CC327" t="s">
        <v>1716</v>
      </c>
    </row>
    <row r="328" spans="1:104" hidden="1">
      <c r="A328" s="32" t="s">
        <v>734</v>
      </c>
      <c r="B328" s="32" t="s">
        <v>79</v>
      </c>
      <c r="C328" s="23">
        <v>103</v>
      </c>
      <c r="D328" s="23">
        <v>24484200</v>
      </c>
      <c r="E328" s="23">
        <v>8</v>
      </c>
      <c r="F328" s="23"/>
      <c r="G328" s="23" t="s">
        <v>52</v>
      </c>
      <c r="H328" s="23">
        <v>13</v>
      </c>
      <c r="I328" s="23"/>
      <c r="J328" s="23"/>
      <c r="K328" s="23" t="s">
        <v>278</v>
      </c>
      <c r="L328" s="23" t="s">
        <v>729</v>
      </c>
      <c r="M328" s="23"/>
      <c r="N328" s="23"/>
      <c r="O328" s="23"/>
      <c r="P328" s="23"/>
      <c r="Q328" s="23"/>
      <c r="R328" s="23"/>
      <c r="S328" s="23" t="s">
        <v>64</v>
      </c>
      <c r="T328" s="23"/>
      <c r="U328" s="23" t="s">
        <v>17</v>
      </c>
      <c r="V328" s="23"/>
      <c r="W328" s="33">
        <v>0.01</v>
      </c>
      <c r="Y328" t="s">
        <v>124</v>
      </c>
      <c r="Z328" t="s">
        <v>53</v>
      </c>
      <c r="AA328" t="s">
        <v>51</v>
      </c>
      <c r="AB328" t="s">
        <v>439</v>
      </c>
      <c r="AF328" t="s">
        <v>1437</v>
      </c>
      <c r="AG328" t="s">
        <v>58</v>
      </c>
      <c r="BX328" t="s">
        <v>1719</v>
      </c>
      <c r="BY328">
        <v>13</v>
      </c>
      <c r="BZ328" t="s">
        <v>763</v>
      </c>
      <c r="CA328" t="s">
        <v>1720</v>
      </c>
      <c r="CB328" t="s">
        <v>1721</v>
      </c>
    </row>
    <row r="329" spans="1:104" hidden="1">
      <c r="A329" s="29" t="s">
        <v>735</v>
      </c>
      <c r="B329" s="29" t="s">
        <v>74</v>
      </c>
      <c r="C329" s="30">
        <v>11</v>
      </c>
      <c r="D329" s="30" t="s">
        <v>736</v>
      </c>
      <c r="E329" s="30">
        <v>1</v>
      </c>
      <c r="F329" s="30"/>
      <c r="G329" s="30" t="s">
        <v>52</v>
      </c>
      <c r="H329" s="30"/>
      <c r="I329" s="30"/>
      <c r="J329" s="30"/>
      <c r="K329" s="30" t="s">
        <v>737</v>
      </c>
      <c r="L329" s="30" t="s">
        <v>736</v>
      </c>
      <c r="M329" s="30">
        <v>2</v>
      </c>
      <c r="N329" s="30"/>
      <c r="O329" s="23"/>
      <c r="P329" s="23"/>
      <c r="Q329" s="23"/>
      <c r="R329" s="23"/>
      <c r="S329" s="23" t="s">
        <v>64</v>
      </c>
      <c r="T329" s="23"/>
      <c r="U329" s="23" t="s">
        <v>54</v>
      </c>
      <c r="V329" s="23"/>
      <c r="W329" s="31">
        <v>14.657999999999999</v>
      </c>
      <c r="Y329" t="s">
        <v>40</v>
      </c>
      <c r="Z329" t="s">
        <v>53</v>
      </c>
      <c r="AA329" t="s">
        <v>51</v>
      </c>
      <c r="AB329" t="s">
        <v>439</v>
      </c>
      <c r="AF329" t="s">
        <v>1437</v>
      </c>
      <c r="AG329" t="s">
        <v>58</v>
      </c>
      <c r="BX329" t="s">
        <v>737</v>
      </c>
    </row>
    <row r="330" spans="1:104" hidden="1">
      <c r="A330" s="29" t="s">
        <v>738</v>
      </c>
      <c r="B330" s="29" t="s">
        <v>79</v>
      </c>
      <c r="C330" s="30">
        <v>1</v>
      </c>
      <c r="D330" s="30" t="s">
        <v>739</v>
      </c>
      <c r="E330" s="30">
        <v>1</v>
      </c>
      <c r="F330" s="30"/>
      <c r="G330" s="30" t="s">
        <v>52</v>
      </c>
      <c r="H330" s="30"/>
      <c r="I330" s="30"/>
      <c r="J330" s="30"/>
      <c r="K330" s="30" t="s">
        <v>740</v>
      </c>
      <c r="L330" s="30" t="s">
        <v>739</v>
      </c>
      <c r="M330" s="30">
        <v>3</v>
      </c>
      <c r="N330" s="30"/>
      <c r="O330" s="23"/>
      <c r="P330" s="23"/>
      <c r="Q330" s="23"/>
      <c r="R330" s="23"/>
      <c r="S330" s="23" t="s">
        <v>64</v>
      </c>
      <c r="T330" s="23"/>
      <c r="U330" s="23" t="s">
        <v>54</v>
      </c>
      <c r="V330" s="23"/>
      <c r="W330" s="31">
        <v>9.282</v>
      </c>
      <c r="Y330" t="s">
        <v>40</v>
      </c>
      <c r="Z330" t="s">
        <v>53</v>
      </c>
      <c r="AA330" t="s">
        <v>51</v>
      </c>
      <c r="AB330" t="s">
        <v>439</v>
      </c>
      <c r="AF330" t="s">
        <v>1437</v>
      </c>
      <c r="AG330" t="s">
        <v>58</v>
      </c>
      <c r="BX330" t="s">
        <v>740</v>
      </c>
    </row>
    <row r="331" spans="1:104">
      <c r="A331" s="32" t="s">
        <v>741</v>
      </c>
      <c r="B331" s="32" t="s">
        <v>83</v>
      </c>
      <c r="C331" s="23">
        <v>1</v>
      </c>
      <c r="D331" s="23">
        <v>3029300</v>
      </c>
      <c r="E331" s="23">
        <v>1</v>
      </c>
      <c r="F331" s="23">
        <v>0.59199999999999997</v>
      </c>
      <c r="G331" s="23" t="s">
        <v>89</v>
      </c>
      <c r="H331" s="23" t="s">
        <v>641</v>
      </c>
      <c r="I331" s="23" t="s">
        <v>85</v>
      </c>
      <c r="J331" s="23">
        <v>466</v>
      </c>
      <c r="K331" s="23" t="s">
        <v>591</v>
      </c>
      <c r="L331" s="23" t="s">
        <v>739</v>
      </c>
      <c r="M331" s="23"/>
      <c r="N331" s="23"/>
      <c r="O331" s="23"/>
      <c r="P331" s="23"/>
      <c r="Q331" s="23"/>
      <c r="R331" s="23"/>
      <c r="S331" s="23" t="s">
        <v>64</v>
      </c>
      <c r="T331" s="23"/>
      <c r="U331" s="23" t="s">
        <v>87</v>
      </c>
      <c r="V331" s="23"/>
      <c r="W331" s="33">
        <v>0</v>
      </c>
      <c r="Y331" t="s">
        <v>161</v>
      </c>
      <c r="Z331" t="s">
        <v>53</v>
      </c>
      <c r="AA331" t="s">
        <v>51</v>
      </c>
      <c r="AB331" t="s">
        <v>439</v>
      </c>
      <c r="AF331" t="s">
        <v>1437</v>
      </c>
      <c r="AG331" t="s">
        <v>58</v>
      </c>
      <c r="AI331" t="str">
        <f>BY331&amp;"_"&amp;CB331&amp;"_"&amp;L331&amp;"_p"&amp;C331&amp;"_"&amp;E331&amp;"st_"&amp;AK331&amp;"_"&amp;RIGHT(AG331,4)&amp;"_"&amp;AL331</f>
        <v>2_oc_SL41046805_p1_1st_G_2050_</v>
      </c>
      <c r="AK331" t="str">
        <f>CT331</f>
        <v>G</v>
      </c>
      <c r="AM331" t="s">
        <v>1674</v>
      </c>
      <c r="AZ331" s="64" t="s">
        <v>1573</v>
      </c>
      <c r="BX331" t="s">
        <v>1691</v>
      </c>
      <c r="BY331">
        <v>2</v>
      </c>
      <c r="BZ331" t="s">
        <v>1742</v>
      </c>
      <c r="CA331" t="s">
        <v>1743</v>
      </c>
      <c r="CB331" t="s">
        <v>1897</v>
      </c>
      <c r="CR331" t="s">
        <v>2009</v>
      </c>
      <c r="CT331" t="s">
        <v>1900</v>
      </c>
      <c r="CW331" t="b">
        <f>AI331=CR331</f>
        <v>1</v>
      </c>
      <c r="CX331" t="b">
        <f t="shared" ref="CX331" si="27">AJ331=CS331</f>
        <v>1</v>
      </c>
      <c r="CY331" t="b">
        <f t="shared" ref="CY331" si="28">AK331=CT331</f>
        <v>1</v>
      </c>
      <c r="CZ331" t="b">
        <f t="shared" ref="CZ331" si="29">AL331=CU331</f>
        <v>1</v>
      </c>
    </row>
    <row r="332" spans="1:104" hidden="1">
      <c r="A332" s="29" t="s">
        <v>742</v>
      </c>
      <c r="B332" s="29" t="s">
        <v>79</v>
      </c>
      <c r="C332" s="30">
        <v>2</v>
      </c>
      <c r="D332" s="30" t="s">
        <v>743</v>
      </c>
      <c r="E332" s="30">
        <v>1</v>
      </c>
      <c r="F332" s="30"/>
      <c r="G332" s="30" t="s">
        <v>52</v>
      </c>
      <c r="H332" s="30"/>
      <c r="I332" s="30"/>
      <c r="J332" s="30"/>
      <c r="K332" s="30" t="s">
        <v>744</v>
      </c>
      <c r="L332" s="30" t="s">
        <v>745</v>
      </c>
      <c r="M332" s="30">
        <v>2</v>
      </c>
      <c r="N332" s="30"/>
      <c r="O332" s="23"/>
      <c r="P332" s="23"/>
      <c r="Q332" s="23"/>
      <c r="R332" s="23"/>
      <c r="S332" s="23" t="s">
        <v>64</v>
      </c>
      <c r="T332" s="23"/>
      <c r="U332" s="23" t="s">
        <v>54</v>
      </c>
      <c r="V332" s="23"/>
      <c r="W332" s="31">
        <v>2.5</v>
      </c>
      <c r="Y332" t="s">
        <v>40</v>
      </c>
      <c r="Z332" t="s">
        <v>53</v>
      </c>
      <c r="AA332" t="s">
        <v>51</v>
      </c>
      <c r="AB332" t="s">
        <v>439</v>
      </c>
      <c r="AF332" t="s">
        <v>1437</v>
      </c>
      <c r="AG332" t="s">
        <v>58</v>
      </c>
      <c r="BX332" t="s">
        <v>744</v>
      </c>
    </row>
    <row r="333" spans="1:104">
      <c r="A333" s="32" t="s">
        <v>746</v>
      </c>
      <c r="B333" s="32" t="s">
        <v>83</v>
      </c>
      <c r="C333" s="23">
        <v>2</v>
      </c>
      <c r="D333" s="23">
        <v>3029300</v>
      </c>
      <c r="E333" s="23">
        <v>1</v>
      </c>
      <c r="F333" s="23">
        <v>0.22</v>
      </c>
      <c r="G333" s="23" t="s">
        <v>89</v>
      </c>
      <c r="H333" s="23">
        <v>564</v>
      </c>
      <c r="I333" s="23" t="s">
        <v>85</v>
      </c>
      <c r="J333" s="23">
        <v>391</v>
      </c>
      <c r="K333" s="23" t="s">
        <v>591</v>
      </c>
      <c r="L333" s="23" t="s">
        <v>745</v>
      </c>
      <c r="M333" s="23"/>
      <c r="N333" s="23"/>
      <c r="O333" s="23"/>
      <c r="P333" s="23"/>
      <c r="Q333" s="23"/>
      <c r="R333" s="23"/>
      <c r="S333" s="23" t="s">
        <v>64</v>
      </c>
      <c r="T333" s="23"/>
      <c r="U333" s="23" t="s">
        <v>87</v>
      </c>
      <c r="V333" s="23"/>
      <c r="W333" s="33">
        <v>0</v>
      </c>
      <c r="Y333" t="s">
        <v>161</v>
      </c>
      <c r="Z333" t="s">
        <v>53</v>
      </c>
      <c r="AA333" t="s">
        <v>51</v>
      </c>
      <c r="AB333" t="s">
        <v>439</v>
      </c>
      <c r="AF333" t="s">
        <v>1437</v>
      </c>
      <c r="AG333" t="s">
        <v>58</v>
      </c>
      <c r="AI333" t="str">
        <f>BY333&amp;"_"&amp;CB333&amp;"_"&amp;L333&amp;"_p"&amp;C333&amp;"_"&amp;E333&amp;"st_"&amp;AK333&amp;"_"&amp;RIGHT(AG333,4)&amp;"_"&amp;AL333</f>
        <v>2_oc_SL40046808_p2_1st_G_2050_L</v>
      </c>
      <c r="AJ333" t="s">
        <v>2080</v>
      </c>
      <c r="AK333" t="str">
        <f>CT333</f>
        <v>G</v>
      </c>
      <c r="AL333" t="str">
        <f>CU333</f>
        <v>L</v>
      </c>
      <c r="AM333" t="s">
        <v>1674</v>
      </c>
      <c r="AZ333" s="64" t="s">
        <v>1574</v>
      </c>
      <c r="BX333" t="s">
        <v>1691</v>
      </c>
      <c r="BY333">
        <v>2</v>
      </c>
      <c r="BZ333" t="s">
        <v>1742</v>
      </c>
      <c r="CA333" t="s">
        <v>1743</v>
      </c>
      <c r="CB333" t="s">
        <v>1897</v>
      </c>
      <c r="CR333" t="s">
        <v>2010</v>
      </c>
      <c r="CS333" t="s">
        <v>1943</v>
      </c>
      <c r="CT333" t="s">
        <v>1900</v>
      </c>
      <c r="CU333" t="s">
        <v>54</v>
      </c>
      <c r="CW333" t="b">
        <f>AI333=CR333</f>
        <v>1</v>
      </c>
      <c r="CX333" t="e">
        <f>#REF!=CS333</f>
        <v>#REF!</v>
      </c>
      <c r="CY333" t="b">
        <f t="shared" ref="CY333" si="30">AK333=CT333</f>
        <v>1</v>
      </c>
      <c r="CZ333" t="b">
        <f t="shared" ref="CZ333" si="31">AL333=CU333</f>
        <v>1</v>
      </c>
    </row>
    <row r="334" spans="1:104" hidden="1">
      <c r="A334" s="29" t="s">
        <v>747</v>
      </c>
      <c r="B334" s="29" t="s">
        <v>79</v>
      </c>
      <c r="C334" s="30">
        <v>3</v>
      </c>
      <c r="D334" s="30" t="s">
        <v>745</v>
      </c>
      <c r="E334" s="30">
        <v>1</v>
      </c>
      <c r="F334" s="30"/>
      <c r="G334" s="30" t="s">
        <v>52</v>
      </c>
      <c r="H334" s="30"/>
      <c r="I334" s="30"/>
      <c r="J334" s="30"/>
      <c r="K334" s="30" t="s">
        <v>744</v>
      </c>
      <c r="L334" s="30" t="s">
        <v>745</v>
      </c>
      <c r="M334" s="30">
        <v>2</v>
      </c>
      <c r="N334" s="30"/>
      <c r="O334" s="23"/>
      <c r="P334" s="23"/>
      <c r="Q334" s="23"/>
      <c r="R334" s="23"/>
      <c r="S334" s="23" t="s">
        <v>64</v>
      </c>
      <c r="T334" s="23"/>
      <c r="U334" s="23" t="s">
        <v>54</v>
      </c>
      <c r="V334" s="23"/>
      <c r="W334" s="31">
        <v>2.5</v>
      </c>
      <c r="Y334" t="s">
        <v>40</v>
      </c>
      <c r="Z334" t="s">
        <v>53</v>
      </c>
      <c r="AA334" t="s">
        <v>51</v>
      </c>
      <c r="AB334" t="s">
        <v>439</v>
      </c>
      <c r="AF334" t="s">
        <v>1437</v>
      </c>
      <c r="AG334" t="s">
        <v>58</v>
      </c>
      <c r="BX334" t="s">
        <v>744</v>
      </c>
    </row>
    <row r="335" spans="1:104">
      <c r="A335" s="32" t="s">
        <v>748</v>
      </c>
      <c r="B335" s="32" t="s">
        <v>83</v>
      </c>
      <c r="C335" s="23">
        <v>1</v>
      </c>
      <c r="D335" s="23">
        <v>3029300</v>
      </c>
      <c r="E335" s="23">
        <v>1</v>
      </c>
      <c r="F335" s="23">
        <v>0.22</v>
      </c>
      <c r="G335" s="23" t="s">
        <v>89</v>
      </c>
      <c r="H335" s="23">
        <v>564</v>
      </c>
      <c r="I335" s="23" t="s">
        <v>85</v>
      </c>
      <c r="J335" s="23">
        <v>391</v>
      </c>
      <c r="K335" s="23" t="s">
        <v>591</v>
      </c>
      <c r="L335" s="23" t="s">
        <v>745</v>
      </c>
      <c r="M335" s="23"/>
      <c r="N335" s="23"/>
      <c r="O335" s="23"/>
      <c r="P335" s="23"/>
      <c r="Q335" s="23"/>
      <c r="R335" s="23"/>
      <c r="S335" s="23" t="s">
        <v>64</v>
      </c>
      <c r="T335" s="23"/>
      <c r="U335" s="23" t="s">
        <v>87</v>
      </c>
      <c r="V335" s="23"/>
      <c r="W335" s="33">
        <v>0</v>
      </c>
      <c r="Y335" t="s">
        <v>161</v>
      </c>
      <c r="Z335" t="s">
        <v>53</v>
      </c>
      <c r="AA335" t="s">
        <v>51</v>
      </c>
      <c r="AB335" t="s">
        <v>439</v>
      </c>
      <c r="AF335" t="s">
        <v>1437</v>
      </c>
      <c r="AG335" t="s">
        <v>58</v>
      </c>
      <c r="AI335" t="str">
        <f>BY335&amp;"_"&amp;CB335&amp;"_"&amp;L335&amp;"_p"&amp;C335&amp;"_"&amp;E335&amp;"st_"&amp;AK335&amp;"_"&amp;RIGHT(AG335,4)&amp;"_"&amp;AL335</f>
        <v>2_oc_SL40046808_p1_1st_G_2050_P</v>
      </c>
      <c r="AJ335" t="s">
        <v>1430</v>
      </c>
      <c r="AK335" t="str">
        <f>CT335</f>
        <v>G</v>
      </c>
      <c r="AL335" t="str">
        <f>CU335</f>
        <v>P</v>
      </c>
      <c r="AM335" t="s">
        <v>1674</v>
      </c>
      <c r="AZ335" s="64" t="s">
        <v>1575</v>
      </c>
      <c r="BX335" t="s">
        <v>1691</v>
      </c>
      <c r="BY335">
        <v>2</v>
      </c>
      <c r="BZ335" t="s">
        <v>1742</v>
      </c>
      <c r="CA335" t="s">
        <v>1743</v>
      </c>
      <c r="CB335" t="s">
        <v>1897</v>
      </c>
      <c r="CR335" t="s">
        <v>2011</v>
      </c>
      <c r="CS335" t="s">
        <v>1944</v>
      </c>
      <c r="CT335" t="s">
        <v>1900</v>
      </c>
      <c r="CU335" t="s">
        <v>1910</v>
      </c>
      <c r="CW335" t="b">
        <f>AI335=CR335</f>
        <v>1</v>
      </c>
      <c r="CX335" t="b">
        <f>AJ333=CS335</f>
        <v>0</v>
      </c>
      <c r="CY335" t="b">
        <f t="shared" ref="CY335" si="32">AK335=CT335</f>
        <v>1</v>
      </c>
      <c r="CZ335" t="b">
        <f t="shared" ref="CZ335" si="33">AL335=CU335</f>
        <v>1</v>
      </c>
    </row>
    <row r="336" spans="1:104" hidden="1">
      <c r="A336" s="32" t="s">
        <v>749</v>
      </c>
      <c r="B336" s="32" t="s">
        <v>79</v>
      </c>
      <c r="C336" s="23">
        <v>101</v>
      </c>
      <c r="D336" s="23">
        <v>24651200</v>
      </c>
      <c r="E336" s="23">
        <v>6</v>
      </c>
      <c r="F336" s="23"/>
      <c r="G336" s="23" t="s">
        <v>52</v>
      </c>
      <c r="H336" s="23" t="s">
        <v>656</v>
      </c>
      <c r="I336" s="23"/>
      <c r="J336" s="23"/>
      <c r="K336" s="23" t="s">
        <v>657</v>
      </c>
      <c r="L336" s="23" t="s">
        <v>745</v>
      </c>
      <c r="M336" s="23"/>
      <c r="N336" s="23"/>
      <c r="O336" s="23"/>
      <c r="P336" s="23"/>
      <c r="Q336" s="23"/>
      <c r="R336" s="23"/>
      <c r="S336" s="23" t="s">
        <v>64</v>
      </c>
      <c r="T336" s="23"/>
      <c r="U336" s="23" t="s">
        <v>17</v>
      </c>
      <c r="V336" s="23"/>
      <c r="W336" s="33">
        <v>2.5000000000000001E-2</v>
      </c>
      <c r="Y336" t="s">
        <v>124</v>
      </c>
      <c r="Z336" t="s">
        <v>53</v>
      </c>
      <c r="AA336" t="s">
        <v>51</v>
      </c>
      <c r="AB336" t="s">
        <v>439</v>
      </c>
      <c r="AF336" t="s">
        <v>1437</v>
      </c>
      <c r="AG336" t="s">
        <v>58</v>
      </c>
      <c r="BX336" t="s">
        <v>1713</v>
      </c>
      <c r="BY336" t="s">
        <v>656</v>
      </c>
      <c r="BZ336" t="s">
        <v>1714</v>
      </c>
      <c r="CA336" s="76">
        <v>46242</v>
      </c>
      <c r="CB336" t="s">
        <v>1740</v>
      </c>
    </row>
    <row r="337" spans="1:96" hidden="1">
      <c r="A337" s="32" t="s">
        <v>750</v>
      </c>
      <c r="B337" s="32" t="s">
        <v>79</v>
      </c>
      <c r="C337" s="23">
        <v>102</v>
      </c>
      <c r="D337" s="23">
        <v>24398500</v>
      </c>
      <c r="E337" s="23">
        <v>6</v>
      </c>
      <c r="F337" s="23"/>
      <c r="G337" s="23" t="s">
        <v>52</v>
      </c>
      <c r="H337" s="23" t="s">
        <v>229</v>
      </c>
      <c r="I337" s="23"/>
      <c r="J337" s="23"/>
      <c r="K337" s="23" t="s">
        <v>230</v>
      </c>
      <c r="L337" s="23" t="s">
        <v>745</v>
      </c>
      <c r="M337" s="23"/>
      <c r="N337" s="23"/>
      <c r="O337" s="23"/>
      <c r="P337" s="23"/>
      <c r="Q337" s="23"/>
      <c r="R337" s="23"/>
      <c r="S337" s="23" t="s">
        <v>64</v>
      </c>
      <c r="T337" s="23"/>
      <c r="U337" s="23" t="s">
        <v>17</v>
      </c>
      <c r="V337" s="23"/>
      <c r="W337" s="33">
        <v>7.0000000000000001E-3</v>
      </c>
      <c r="Y337" t="s">
        <v>124</v>
      </c>
      <c r="Z337" t="s">
        <v>53</v>
      </c>
      <c r="AA337" t="s">
        <v>51</v>
      </c>
      <c r="AB337" t="s">
        <v>439</v>
      </c>
      <c r="AF337" t="s">
        <v>1437</v>
      </c>
      <c r="AG337" t="s">
        <v>58</v>
      </c>
      <c r="BX337" t="s">
        <v>1717</v>
      </c>
      <c r="BY337" t="s">
        <v>229</v>
      </c>
      <c r="BZ337" t="s">
        <v>1718</v>
      </c>
      <c r="CA337">
        <v>8</v>
      </c>
      <c r="CB337" t="s">
        <v>1740</v>
      </c>
    </row>
    <row r="338" spans="1:96" hidden="1">
      <c r="A338" s="32" t="s">
        <v>751</v>
      </c>
      <c r="B338" s="32" t="s">
        <v>79</v>
      </c>
      <c r="C338" s="23">
        <v>103</v>
      </c>
      <c r="D338" s="23">
        <v>2600700</v>
      </c>
      <c r="E338" s="23">
        <v>12</v>
      </c>
      <c r="F338" s="23"/>
      <c r="G338" s="23" t="s">
        <v>52</v>
      </c>
      <c r="H338" s="23"/>
      <c r="I338" s="23"/>
      <c r="J338" s="23"/>
      <c r="K338" s="23" t="s">
        <v>263</v>
      </c>
      <c r="L338" s="23" t="s">
        <v>745</v>
      </c>
      <c r="M338" s="23"/>
      <c r="N338" s="23"/>
      <c r="O338" s="23"/>
      <c r="P338" s="23"/>
      <c r="Q338" s="23"/>
      <c r="R338" s="23"/>
      <c r="S338" s="23" t="s">
        <v>64</v>
      </c>
      <c r="T338" s="23"/>
      <c r="U338" s="23" t="s">
        <v>17</v>
      </c>
      <c r="V338" s="23"/>
      <c r="W338" s="33">
        <v>3.0000000000000001E-3</v>
      </c>
      <c r="Y338" t="s">
        <v>124</v>
      </c>
      <c r="Z338" t="s">
        <v>53</v>
      </c>
      <c r="AA338" t="s">
        <v>51</v>
      </c>
      <c r="AB338" t="s">
        <v>439</v>
      </c>
      <c r="AF338" t="s">
        <v>1437</v>
      </c>
      <c r="AG338" t="s">
        <v>58</v>
      </c>
      <c r="BX338" t="s">
        <v>1719</v>
      </c>
      <c r="BY338" t="s">
        <v>229</v>
      </c>
      <c r="BZ338" t="s">
        <v>1748</v>
      </c>
      <c r="CA338" t="s">
        <v>1749</v>
      </c>
      <c r="CB338" t="s">
        <v>1715</v>
      </c>
      <c r="CC338" t="s">
        <v>1716</v>
      </c>
    </row>
    <row r="339" spans="1:96" hidden="1">
      <c r="A339" s="32" t="s">
        <v>752</v>
      </c>
      <c r="B339" s="32" t="s">
        <v>79</v>
      </c>
      <c r="C339" s="23">
        <v>104</v>
      </c>
      <c r="D339" s="23">
        <v>24379100</v>
      </c>
      <c r="E339" s="23">
        <v>2</v>
      </c>
      <c r="F339" s="23"/>
      <c r="G339" s="23" t="s">
        <v>52</v>
      </c>
      <c r="H339" s="23" t="s">
        <v>272</v>
      </c>
      <c r="I339" s="23"/>
      <c r="J339" s="23"/>
      <c r="K339" s="23" t="s">
        <v>273</v>
      </c>
      <c r="L339" s="23" t="s">
        <v>745</v>
      </c>
      <c r="M339" s="23"/>
      <c r="N339" s="23"/>
      <c r="O339" s="23"/>
      <c r="P339" s="23"/>
      <c r="Q339" s="23"/>
      <c r="R339" s="23"/>
      <c r="S339" s="23" t="s">
        <v>64</v>
      </c>
      <c r="T339" s="23"/>
      <c r="U339" s="23" t="s">
        <v>17</v>
      </c>
      <c r="V339" s="23"/>
      <c r="W339" s="33">
        <v>4.1000000000000002E-2</v>
      </c>
      <c r="Y339" t="s">
        <v>124</v>
      </c>
      <c r="Z339" t="s">
        <v>53</v>
      </c>
      <c r="AA339" t="s">
        <v>51</v>
      </c>
      <c r="AB339" t="s">
        <v>439</v>
      </c>
      <c r="AF339" t="s">
        <v>1437</v>
      </c>
      <c r="AG339" t="s">
        <v>58</v>
      </c>
      <c r="BX339" t="s">
        <v>1713</v>
      </c>
      <c r="BY339" t="s">
        <v>272</v>
      </c>
      <c r="BZ339" t="s">
        <v>1714</v>
      </c>
      <c r="CA339" s="76">
        <v>46242</v>
      </c>
      <c r="CB339" t="s">
        <v>1715</v>
      </c>
      <c r="CC339" t="s">
        <v>1716</v>
      </c>
    </row>
    <row r="340" spans="1:96" hidden="1">
      <c r="A340" s="32" t="s">
        <v>753</v>
      </c>
      <c r="B340" s="32" t="s">
        <v>79</v>
      </c>
      <c r="C340" s="23">
        <v>105</v>
      </c>
      <c r="D340" s="23">
        <v>24707900</v>
      </c>
      <c r="E340" s="23">
        <v>2</v>
      </c>
      <c r="F340" s="23"/>
      <c r="G340" s="23" t="s">
        <v>52</v>
      </c>
      <c r="H340" s="23" t="s">
        <v>275</v>
      </c>
      <c r="I340" s="23"/>
      <c r="J340" s="23"/>
      <c r="K340" s="23" t="s">
        <v>276</v>
      </c>
      <c r="L340" s="23" t="s">
        <v>745</v>
      </c>
      <c r="M340" s="23"/>
      <c r="N340" s="23"/>
      <c r="O340" s="23"/>
      <c r="P340" s="23"/>
      <c r="Q340" s="23"/>
      <c r="R340" s="23"/>
      <c r="S340" s="23" t="s">
        <v>64</v>
      </c>
      <c r="T340" s="23"/>
      <c r="U340" s="23" t="s">
        <v>17</v>
      </c>
      <c r="V340" s="23"/>
      <c r="W340" s="33">
        <v>1.7000000000000001E-2</v>
      </c>
      <c r="Y340" t="s">
        <v>124</v>
      </c>
      <c r="Z340" t="s">
        <v>53</v>
      </c>
      <c r="AA340" t="s">
        <v>51</v>
      </c>
      <c r="AB340" t="s">
        <v>439</v>
      </c>
      <c r="AF340" t="s">
        <v>1437</v>
      </c>
      <c r="AG340" t="s">
        <v>58</v>
      </c>
      <c r="BX340" t="s">
        <v>1717</v>
      </c>
      <c r="BY340" t="s">
        <v>275</v>
      </c>
      <c r="BZ340" t="s">
        <v>1718</v>
      </c>
      <c r="CA340">
        <v>8</v>
      </c>
      <c r="CB340" t="s">
        <v>1715</v>
      </c>
      <c r="CC340" t="s">
        <v>1716</v>
      </c>
    </row>
    <row r="341" spans="1:96" hidden="1">
      <c r="A341" s="32" t="s">
        <v>754</v>
      </c>
      <c r="B341" s="32" t="s">
        <v>79</v>
      </c>
      <c r="C341" s="23">
        <v>106</v>
      </c>
      <c r="D341" s="23">
        <v>3301400</v>
      </c>
      <c r="E341" s="23">
        <v>2</v>
      </c>
      <c r="F341" s="23"/>
      <c r="G341" s="23" t="s">
        <v>52</v>
      </c>
      <c r="H341" s="23"/>
      <c r="I341" s="23"/>
      <c r="J341" s="23"/>
      <c r="K341" s="23" t="s">
        <v>327</v>
      </c>
      <c r="L341" s="23" t="s">
        <v>745</v>
      </c>
      <c r="M341" s="23"/>
      <c r="N341" s="23"/>
      <c r="O341" s="23"/>
      <c r="P341" s="23"/>
      <c r="Q341" s="23"/>
      <c r="R341" s="23"/>
      <c r="S341" s="23" t="s">
        <v>64</v>
      </c>
      <c r="T341" s="23"/>
      <c r="U341" s="23" t="s">
        <v>17</v>
      </c>
      <c r="V341" s="23"/>
      <c r="W341" s="33">
        <v>6.0000000000000001E-3</v>
      </c>
      <c r="Y341" t="s">
        <v>124</v>
      </c>
      <c r="Z341" t="s">
        <v>53</v>
      </c>
      <c r="AA341" t="s">
        <v>51</v>
      </c>
      <c r="AB341" t="s">
        <v>439</v>
      </c>
      <c r="AF341" t="s">
        <v>1437</v>
      </c>
      <c r="AG341" t="s">
        <v>58</v>
      </c>
      <c r="BX341" t="s">
        <v>1719</v>
      </c>
      <c r="BY341" t="s">
        <v>275</v>
      </c>
      <c r="BZ341" t="s">
        <v>1748</v>
      </c>
      <c r="CA341" t="s">
        <v>1749</v>
      </c>
      <c r="CB341" t="s">
        <v>1715</v>
      </c>
      <c r="CC341" t="s">
        <v>1716</v>
      </c>
    </row>
    <row r="342" spans="1:96" hidden="1">
      <c r="A342" s="32" t="s">
        <v>755</v>
      </c>
      <c r="B342" s="32" t="s">
        <v>79</v>
      </c>
      <c r="C342" s="23">
        <v>107</v>
      </c>
      <c r="D342" s="23">
        <v>5100500</v>
      </c>
      <c r="E342" s="23">
        <v>2</v>
      </c>
      <c r="F342" s="23"/>
      <c r="G342" s="23" t="s">
        <v>52</v>
      </c>
      <c r="H342" s="23"/>
      <c r="I342" s="23"/>
      <c r="J342" s="23"/>
      <c r="K342" s="23" t="s">
        <v>664</v>
      </c>
      <c r="L342" s="23" t="s">
        <v>745</v>
      </c>
      <c r="M342" s="23"/>
      <c r="N342" s="23"/>
      <c r="O342" s="23"/>
      <c r="P342" s="23"/>
      <c r="Q342" s="23"/>
      <c r="R342" s="23"/>
      <c r="S342" s="23" t="s">
        <v>64</v>
      </c>
      <c r="T342" s="23"/>
      <c r="U342" s="23" t="s">
        <v>17</v>
      </c>
      <c r="V342" s="23"/>
      <c r="W342" s="33">
        <v>0.01</v>
      </c>
      <c r="Y342" t="s">
        <v>124</v>
      </c>
      <c r="Z342" t="s">
        <v>53</v>
      </c>
      <c r="AA342" t="s">
        <v>51</v>
      </c>
      <c r="AB342" t="s">
        <v>439</v>
      </c>
      <c r="AF342" t="s">
        <v>1437</v>
      </c>
      <c r="AG342" t="s">
        <v>58</v>
      </c>
      <c r="BX342" t="s">
        <v>1797</v>
      </c>
      <c r="BY342">
        <v>14</v>
      </c>
      <c r="BZ342" t="s">
        <v>1777</v>
      </c>
      <c r="CA342" t="s">
        <v>1734</v>
      </c>
    </row>
    <row r="343" spans="1:96" hidden="1">
      <c r="A343" s="29" t="s">
        <v>756</v>
      </c>
      <c r="B343" s="29" t="s">
        <v>74</v>
      </c>
      <c r="C343" s="30">
        <v>12</v>
      </c>
      <c r="D343" s="30" t="s">
        <v>757</v>
      </c>
      <c r="E343" s="30">
        <v>4</v>
      </c>
      <c r="F343" s="30"/>
      <c r="G343" s="30" t="s">
        <v>52</v>
      </c>
      <c r="H343" s="30"/>
      <c r="I343" s="30"/>
      <c r="J343" s="30"/>
      <c r="K343" s="30" t="s">
        <v>758</v>
      </c>
      <c r="L343" s="30" t="s">
        <v>757</v>
      </c>
      <c r="M343" s="30"/>
      <c r="N343" s="30"/>
      <c r="O343" s="23"/>
      <c r="P343" s="23"/>
      <c r="Q343" s="23"/>
      <c r="R343" s="23"/>
      <c r="S343" s="23" t="s">
        <v>64</v>
      </c>
      <c r="T343" s="23"/>
      <c r="U343" s="23" t="s">
        <v>54</v>
      </c>
      <c r="V343" s="23"/>
      <c r="W343" s="31">
        <v>0.54100000000000004</v>
      </c>
      <c r="Y343" t="s">
        <v>40</v>
      </c>
      <c r="Z343" t="s">
        <v>53</v>
      </c>
      <c r="AA343" t="s">
        <v>51</v>
      </c>
      <c r="AB343" t="s">
        <v>439</v>
      </c>
      <c r="AC343" t="s">
        <v>1420</v>
      </c>
      <c r="AF343" t="s">
        <v>1437</v>
      </c>
      <c r="AG343" t="s">
        <v>58</v>
      </c>
      <c r="BX343" t="s">
        <v>758</v>
      </c>
    </row>
    <row r="344" spans="1:96" hidden="1">
      <c r="A344" s="32" t="s">
        <v>759</v>
      </c>
      <c r="B344" s="32" t="s">
        <v>79</v>
      </c>
      <c r="C344" s="23">
        <v>1</v>
      </c>
      <c r="D344" s="23">
        <v>2500</v>
      </c>
      <c r="E344" s="23">
        <v>4</v>
      </c>
      <c r="F344" s="23">
        <v>1.9E-2</v>
      </c>
      <c r="G344" s="23" t="s">
        <v>89</v>
      </c>
      <c r="H344" s="23">
        <v>55</v>
      </c>
      <c r="I344" s="23" t="s">
        <v>85</v>
      </c>
      <c r="J344" s="23">
        <v>90</v>
      </c>
      <c r="K344" s="23" t="s">
        <v>497</v>
      </c>
      <c r="L344" s="23" t="s">
        <v>757</v>
      </c>
      <c r="M344" s="23"/>
      <c r="N344" s="23"/>
      <c r="O344" s="23"/>
      <c r="P344" s="23"/>
      <c r="Q344" s="23"/>
      <c r="R344" s="23"/>
      <c r="S344" s="23" t="s">
        <v>64</v>
      </c>
      <c r="T344" s="23"/>
      <c r="U344" s="23" t="s">
        <v>87</v>
      </c>
      <c r="V344" s="23"/>
      <c r="W344" s="33">
        <v>0</v>
      </c>
      <c r="Y344" t="s">
        <v>161</v>
      </c>
      <c r="Z344" t="s">
        <v>53</v>
      </c>
      <c r="AA344" t="s">
        <v>51</v>
      </c>
      <c r="AB344" t="s">
        <v>439</v>
      </c>
      <c r="AC344" t="s">
        <v>1420</v>
      </c>
      <c r="AF344" t="s">
        <v>1437</v>
      </c>
      <c r="AG344" t="s">
        <v>58</v>
      </c>
      <c r="AI344" t="str">
        <f>BY344&amp;"_"&amp;CB344&amp;"_"&amp;L344&amp;"_p"&amp;C344&amp;"_"&amp;E344&amp;"st_"&amp;AK344&amp;"_"&amp;RIGHT(AG344,4)&amp;"_"&amp;AL344</f>
        <v>15_S235_SL40045900_p1_4st__2050_</v>
      </c>
      <c r="AM344" t="s">
        <v>1673</v>
      </c>
      <c r="AZ344" s="64" t="s">
        <v>1576</v>
      </c>
      <c r="BA344" s="64" t="s">
        <v>1577</v>
      </c>
      <c r="BX344" t="s">
        <v>1691</v>
      </c>
      <c r="BY344">
        <v>15</v>
      </c>
      <c r="BZ344" t="s">
        <v>1692</v>
      </c>
      <c r="CA344" t="s">
        <v>1736</v>
      </c>
      <c r="CB344" t="s">
        <v>1895</v>
      </c>
      <c r="CG344">
        <v>15</v>
      </c>
      <c r="CH344" t="s">
        <v>1895</v>
      </c>
      <c r="CI344" t="s">
        <v>757</v>
      </c>
      <c r="CJ344" t="s">
        <v>1898</v>
      </c>
      <c r="CK344" t="s">
        <v>1899</v>
      </c>
      <c r="CM344">
        <v>3902</v>
      </c>
      <c r="CR344" t="s">
        <v>2012</v>
      </c>
    </row>
    <row r="345" spans="1:96" hidden="1">
      <c r="A345" s="29" t="s">
        <v>760</v>
      </c>
      <c r="B345" s="29" t="s">
        <v>74</v>
      </c>
      <c r="C345" s="30">
        <v>13</v>
      </c>
      <c r="D345" s="30" t="s">
        <v>761</v>
      </c>
      <c r="E345" s="30">
        <v>4</v>
      </c>
      <c r="F345" s="30"/>
      <c r="G345" s="30" t="s">
        <v>52</v>
      </c>
      <c r="H345" s="30"/>
      <c r="I345" s="30"/>
      <c r="J345" s="30"/>
      <c r="K345" s="30" t="s">
        <v>762</v>
      </c>
      <c r="L345" s="30" t="s">
        <v>761</v>
      </c>
      <c r="M345" s="30">
        <v>4</v>
      </c>
      <c r="N345" s="30" t="s">
        <v>763</v>
      </c>
      <c r="O345" s="23"/>
      <c r="P345" s="23"/>
      <c r="Q345" s="23"/>
      <c r="R345" s="23"/>
      <c r="S345" s="23" t="s">
        <v>64</v>
      </c>
      <c r="T345" s="23"/>
      <c r="U345" s="23" t="s">
        <v>54</v>
      </c>
      <c r="V345" s="23"/>
      <c r="W345" s="31">
        <v>1.986</v>
      </c>
      <c r="Y345" t="s">
        <v>40</v>
      </c>
      <c r="Z345" t="s">
        <v>53</v>
      </c>
      <c r="AA345" t="s">
        <v>51</v>
      </c>
      <c r="AB345" t="s">
        <v>439</v>
      </c>
      <c r="AC345" t="s">
        <v>1420</v>
      </c>
      <c r="AF345" t="s">
        <v>1437</v>
      </c>
      <c r="AG345" t="s">
        <v>58</v>
      </c>
      <c r="BX345" t="s">
        <v>762</v>
      </c>
    </row>
    <row r="346" spans="1:96" hidden="1">
      <c r="A346" s="32" t="s">
        <v>764</v>
      </c>
      <c r="B346" s="32" t="s">
        <v>79</v>
      </c>
      <c r="C346" s="23">
        <v>1</v>
      </c>
      <c r="D346" s="23">
        <v>2500</v>
      </c>
      <c r="E346" s="23">
        <v>4</v>
      </c>
      <c r="F346" s="23">
        <v>7.1999999999999995E-2</v>
      </c>
      <c r="G346" s="23" t="s">
        <v>89</v>
      </c>
      <c r="H346" s="23">
        <v>70</v>
      </c>
      <c r="I346" s="23" t="s">
        <v>85</v>
      </c>
      <c r="J346" s="23">
        <v>255</v>
      </c>
      <c r="K346" s="23" t="s">
        <v>497</v>
      </c>
      <c r="L346" s="23" t="s">
        <v>761</v>
      </c>
      <c r="M346" s="23"/>
      <c r="N346" s="23"/>
      <c r="O346" s="23"/>
      <c r="P346" s="23"/>
      <c r="Q346" s="23"/>
      <c r="R346" s="23"/>
      <c r="S346" s="23" t="s">
        <v>64</v>
      </c>
      <c r="T346" s="23"/>
      <c r="U346" s="23" t="s">
        <v>87</v>
      </c>
      <c r="V346" s="23"/>
      <c r="W346" s="33">
        <v>0</v>
      </c>
      <c r="Y346" t="s">
        <v>161</v>
      </c>
      <c r="Z346" t="s">
        <v>53</v>
      </c>
      <c r="AA346" t="s">
        <v>51</v>
      </c>
      <c r="AB346" t="s">
        <v>439</v>
      </c>
      <c r="AC346" t="s">
        <v>1420</v>
      </c>
      <c r="AF346" t="s">
        <v>1437</v>
      </c>
      <c r="AG346" t="s">
        <v>58</v>
      </c>
      <c r="AI346" t="str">
        <f>BY346&amp;"_"&amp;CB346&amp;"_"&amp;L346&amp;"_p"&amp;C346&amp;"_"&amp;E346&amp;"st_"&amp;AK346&amp;"_"&amp;RIGHT(AG346,4)&amp;"_"&amp;AL346</f>
        <v>15_S235_SL40032903_p1_4st__2050_</v>
      </c>
      <c r="AM346" t="s">
        <v>1673</v>
      </c>
      <c r="AZ346" s="64" t="s">
        <v>1578</v>
      </c>
      <c r="BA346" s="64" t="s">
        <v>1579</v>
      </c>
      <c r="BX346" t="s">
        <v>1691</v>
      </c>
      <c r="BY346">
        <v>15</v>
      </c>
      <c r="BZ346" t="s">
        <v>1692</v>
      </c>
      <c r="CA346" t="s">
        <v>1736</v>
      </c>
      <c r="CB346" t="s">
        <v>1895</v>
      </c>
      <c r="CG346">
        <v>15</v>
      </c>
      <c r="CH346" t="s">
        <v>1895</v>
      </c>
      <c r="CI346" t="s">
        <v>761</v>
      </c>
      <c r="CJ346" t="s">
        <v>1898</v>
      </c>
      <c r="CK346" t="s">
        <v>1899</v>
      </c>
      <c r="CM346">
        <v>3902</v>
      </c>
      <c r="CR346" t="s">
        <v>2013</v>
      </c>
    </row>
    <row r="347" spans="1:96" hidden="1">
      <c r="A347" s="32" t="s">
        <v>765</v>
      </c>
      <c r="B347" s="32" t="s">
        <v>74</v>
      </c>
      <c r="C347" s="23">
        <v>101</v>
      </c>
      <c r="D347" s="23">
        <v>2872300</v>
      </c>
      <c r="E347" s="23">
        <v>2</v>
      </c>
      <c r="F347" s="23"/>
      <c r="G347" s="23" t="s">
        <v>52</v>
      </c>
      <c r="H347" s="23" t="s">
        <v>766</v>
      </c>
      <c r="I347" s="23"/>
      <c r="J347" s="23"/>
      <c r="K347" s="23" t="s">
        <v>767</v>
      </c>
      <c r="L347" s="23" t="s">
        <v>761</v>
      </c>
      <c r="M347" s="23"/>
      <c r="N347" s="23"/>
      <c r="O347" s="23"/>
      <c r="P347" s="23"/>
      <c r="Q347" s="23"/>
      <c r="R347" s="23"/>
      <c r="S347" s="23" t="s">
        <v>64</v>
      </c>
      <c r="T347" s="23"/>
      <c r="U347" s="23" t="s">
        <v>17</v>
      </c>
      <c r="V347" s="23"/>
      <c r="W347" s="33">
        <v>0.39300000000000002</v>
      </c>
      <c r="Y347" t="s">
        <v>124</v>
      </c>
      <c r="Z347" t="s">
        <v>53</v>
      </c>
      <c r="AA347" t="s">
        <v>51</v>
      </c>
      <c r="AB347" t="s">
        <v>439</v>
      </c>
      <c r="AF347" t="s">
        <v>1437</v>
      </c>
      <c r="AG347" t="s">
        <v>58</v>
      </c>
      <c r="BX347" t="s">
        <v>1713</v>
      </c>
      <c r="BY347" t="s">
        <v>766</v>
      </c>
      <c r="BZ347" t="s">
        <v>1714</v>
      </c>
      <c r="CA347" s="76">
        <v>46242</v>
      </c>
      <c r="CB347" t="s">
        <v>1740</v>
      </c>
    </row>
    <row r="348" spans="1:96" hidden="1">
      <c r="A348" s="32" t="s">
        <v>768</v>
      </c>
      <c r="B348" s="32" t="s">
        <v>74</v>
      </c>
      <c r="C348" s="23">
        <v>102</v>
      </c>
      <c r="D348" s="23">
        <v>735800</v>
      </c>
      <c r="E348" s="23">
        <v>2</v>
      </c>
      <c r="F348" s="23"/>
      <c r="G348" s="23" t="s">
        <v>52</v>
      </c>
      <c r="H348" s="23" t="s">
        <v>411</v>
      </c>
      <c r="I348" s="23"/>
      <c r="J348" s="23"/>
      <c r="K348" s="23" t="s">
        <v>412</v>
      </c>
      <c r="L348" s="23" t="s">
        <v>761</v>
      </c>
      <c r="M348" s="23"/>
      <c r="N348" s="23"/>
      <c r="O348" s="23"/>
      <c r="P348" s="23"/>
      <c r="Q348" s="23"/>
      <c r="R348" s="23"/>
      <c r="S348" s="23" t="s">
        <v>64</v>
      </c>
      <c r="T348" s="23"/>
      <c r="U348" s="23" t="s">
        <v>17</v>
      </c>
      <c r="V348" s="23"/>
      <c r="W348" s="33">
        <v>0.09</v>
      </c>
      <c r="Y348" t="s">
        <v>124</v>
      </c>
      <c r="Z348" t="s">
        <v>53</v>
      </c>
      <c r="AA348" t="s">
        <v>51</v>
      </c>
      <c r="AB348" t="s">
        <v>439</v>
      </c>
      <c r="AF348" t="s">
        <v>1437</v>
      </c>
      <c r="AG348" t="s">
        <v>58</v>
      </c>
      <c r="BX348" t="s">
        <v>1717</v>
      </c>
      <c r="BY348" t="s">
        <v>411</v>
      </c>
      <c r="BZ348" t="s">
        <v>1718</v>
      </c>
      <c r="CA348">
        <v>8</v>
      </c>
      <c r="CB348" t="s">
        <v>1715</v>
      </c>
      <c r="CC348" t="s">
        <v>1716</v>
      </c>
    </row>
    <row r="349" spans="1:96" hidden="1">
      <c r="A349" s="32" t="s">
        <v>769</v>
      </c>
      <c r="B349" s="32" t="s">
        <v>74</v>
      </c>
      <c r="C349" s="23">
        <v>103</v>
      </c>
      <c r="D349" s="23">
        <v>813800</v>
      </c>
      <c r="E349" s="23">
        <v>4</v>
      </c>
      <c r="F349" s="23"/>
      <c r="G349" s="23" t="s">
        <v>52</v>
      </c>
      <c r="H349" s="23" t="s">
        <v>122</v>
      </c>
      <c r="I349" s="23"/>
      <c r="J349" s="23"/>
      <c r="K349" s="23" t="s">
        <v>123</v>
      </c>
      <c r="L349" s="23" t="s">
        <v>761</v>
      </c>
      <c r="M349" s="23"/>
      <c r="N349" s="23"/>
      <c r="O349" s="23"/>
      <c r="P349" s="23"/>
      <c r="Q349" s="23"/>
      <c r="R349" s="23"/>
      <c r="S349" s="23" t="s">
        <v>64</v>
      </c>
      <c r="T349" s="23"/>
      <c r="U349" s="23" t="s">
        <v>17</v>
      </c>
      <c r="V349" s="23"/>
      <c r="W349" s="33">
        <v>0.217</v>
      </c>
      <c r="Y349" t="s">
        <v>124</v>
      </c>
      <c r="Z349" t="s">
        <v>53</v>
      </c>
      <c r="AA349" t="s">
        <v>51</v>
      </c>
      <c r="AB349" t="s">
        <v>439</v>
      </c>
      <c r="AF349" t="s">
        <v>1437</v>
      </c>
      <c r="AG349" t="s">
        <v>58</v>
      </c>
      <c r="BX349" t="s">
        <v>1713</v>
      </c>
      <c r="BY349" t="s">
        <v>122</v>
      </c>
      <c r="BZ349" t="s">
        <v>1714</v>
      </c>
      <c r="CA349" s="76">
        <v>46242</v>
      </c>
      <c r="CB349" t="s">
        <v>1715</v>
      </c>
      <c r="CC349" t="s">
        <v>1716</v>
      </c>
    </row>
    <row r="350" spans="1:96" hidden="1">
      <c r="A350" s="32" t="s">
        <v>770</v>
      </c>
      <c r="B350" s="32" t="s">
        <v>74</v>
      </c>
      <c r="C350" s="23">
        <v>104</v>
      </c>
      <c r="D350" s="23">
        <v>24723900</v>
      </c>
      <c r="E350" s="23">
        <v>4</v>
      </c>
      <c r="F350" s="23"/>
      <c r="G350" s="23" t="s">
        <v>52</v>
      </c>
      <c r="H350" s="23" t="s">
        <v>126</v>
      </c>
      <c r="I350" s="23"/>
      <c r="J350" s="23"/>
      <c r="K350" s="23" t="s">
        <v>127</v>
      </c>
      <c r="L350" s="23" t="s">
        <v>761</v>
      </c>
      <c r="M350" s="23"/>
      <c r="N350" s="23"/>
      <c r="O350" s="23"/>
      <c r="P350" s="23"/>
      <c r="Q350" s="23"/>
      <c r="R350" s="23"/>
      <c r="S350" s="23" t="s">
        <v>64</v>
      </c>
      <c r="T350" s="23"/>
      <c r="U350" s="23" t="s">
        <v>17</v>
      </c>
      <c r="V350" s="23"/>
      <c r="W350" s="33">
        <v>0.1</v>
      </c>
      <c r="Y350" t="s">
        <v>124</v>
      </c>
      <c r="Z350" t="s">
        <v>53</v>
      </c>
      <c r="AA350" t="s">
        <v>51</v>
      </c>
      <c r="AB350" t="s">
        <v>439</v>
      </c>
      <c r="AF350" t="s">
        <v>1437</v>
      </c>
      <c r="AG350" t="s">
        <v>58</v>
      </c>
      <c r="BX350" t="s">
        <v>1717</v>
      </c>
      <c r="BY350" t="s">
        <v>126</v>
      </c>
      <c r="BZ350" t="s">
        <v>1718</v>
      </c>
      <c r="CA350">
        <v>8</v>
      </c>
      <c r="CB350" t="s">
        <v>1715</v>
      </c>
      <c r="CC350" t="s">
        <v>1716</v>
      </c>
    </row>
    <row r="351" spans="1:96" hidden="1">
      <c r="A351" s="32" t="s">
        <v>771</v>
      </c>
      <c r="B351" s="32" t="s">
        <v>74</v>
      </c>
      <c r="C351" s="23">
        <v>105</v>
      </c>
      <c r="D351" s="23">
        <v>3287000</v>
      </c>
      <c r="E351" s="23">
        <v>8</v>
      </c>
      <c r="F351" s="23"/>
      <c r="G351" s="23" t="s">
        <v>52</v>
      </c>
      <c r="H351" s="23" t="s">
        <v>772</v>
      </c>
      <c r="I351" s="23"/>
      <c r="J351" s="23"/>
      <c r="K351" s="23" t="s">
        <v>773</v>
      </c>
      <c r="L351" s="23" t="s">
        <v>761</v>
      </c>
      <c r="M351" s="23"/>
      <c r="N351" s="23"/>
      <c r="O351" s="23"/>
      <c r="P351" s="23"/>
      <c r="Q351" s="23"/>
      <c r="R351" s="23"/>
      <c r="S351" s="23" t="s">
        <v>64</v>
      </c>
      <c r="T351" s="23"/>
      <c r="U351" s="23" t="s">
        <v>17</v>
      </c>
      <c r="V351" s="23"/>
      <c r="W351" s="33">
        <v>2.1000000000000001E-2</v>
      </c>
      <c r="Y351" t="s">
        <v>124</v>
      </c>
      <c r="Z351" t="s">
        <v>53</v>
      </c>
      <c r="AA351" t="s">
        <v>51</v>
      </c>
      <c r="AB351" t="s">
        <v>439</v>
      </c>
      <c r="AF351" t="s">
        <v>1437</v>
      </c>
      <c r="AG351" t="s">
        <v>58</v>
      </c>
      <c r="BX351" t="s">
        <v>1719</v>
      </c>
      <c r="BY351" t="s">
        <v>126</v>
      </c>
      <c r="BZ351" t="s">
        <v>1748</v>
      </c>
      <c r="CA351" t="s">
        <v>1749</v>
      </c>
      <c r="CB351" t="s">
        <v>1715</v>
      </c>
      <c r="CC351" t="s">
        <v>1716</v>
      </c>
    </row>
    <row r="352" spans="1:96" ht="60" hidden="1" customHeight="1">
      <c r="A352" s="32" t="s">
        <v>774</v>
      </c>
      <c r="B352" s="32" t="s">
        <v>74</v>
      </c>
      <c r="C352" s="23">
        <v>301</v>
      </c>
      <c r="D352" s="23" t="s">
        <v>775</v>
      </c>
      <c r="E352" s="23">
        <v>1</v>
      </c>
      <c r="F352" s="23"/>
      <c r="G352" s="23" t="s">
        <v>52</v>
      </c>
      <c r="H352" s="23"/>
      <c r="I352" s="23"/>
      <c r="J352" s="23"/>
      <c r="K352" s="34" t="s">
        <v>776</v>
      </c>
      <c r="L352" s="23" t="s">
        <v>761</v>
      </c>
      <c r="M352" s="23"/>
      <c r="N352" s="23"/>
      <c r="O352" s="23"/>
      <c r="P352" s="23"/>
      <c r="Q352" s="23"/>
      <c r="R352" s="23"/>
      <c r="S352" s="23" t="s">
        <v>64</v>
      </c>
      <c r="T352" s="23"/>
      <c r="U352" s="23" t="s">
        <v>17</v>
      </c>
      <c r="V352" s="23"/>
      <c r="W352" s="33">
        <v>22.5</v>
      </c>
      <c r="Y352" t="s">
        <v>777</v>
      </c>
      <c r="Z352" t="s">
        <v>53</v>
      </c>
      <c r="AA352" t="s">
        <v>51</v>
      </c>
      <c r="AB352" t="s">
        <v>439</v>
      </c>
      <c r="AF352" t="s">
        <v>1437</v>
      </c>
      <c r="AG352" t="s">
        <v>58</v>
      </c>
      <c r="BX352" t="s">
        <v>1807</v>
      </c>
    </row>
    <row r="353" spans="1:104" ht="60" hidden="1" customHeight="1">
      <c r="A353" s="32" t="s">
        <v>778</v>
      </c>
      <c r="B353" s="32" t="s">
        <v>74</v>
      </c>
      <c r="C353" s="23">
        <v>302</v>
      </c>
      <c r="D353" s="23" t="s">
        <v>779</v>
      </c>
      <c r="E353" s="23">
        <v>2</v>
      </c>
      <c r="F353" s="23"/>
      <c r="G353" s="23" t="s">
        <v>52</v>
      </c>
      <c r="H353" s="23"/>
      <c r="I353" s="23"/>
      <c r="J353" s="23"/>
      <c r="K353" s="34" t="s">
        <v>780</v>
      </c>
      <c r="L353" s="23" t="s">
        <v>761</v>
      </c>
      <c r="M353" s="23"/>
      <c r="N353" s="23"/>
      <c r="O353" s="23"/>
      <c r="P353" s="23"/>
      <c r="Q353" s="23"/>
      <c r="R353" s="23"/>
      <c r="S353" s="23" t="s">
        <v>64</v>
      </c>
      <c r="T353" s="23"/>
      <c r="U353" s="23" t="s">
        <v>17</v>
      </c>
      <c r="V353" s="23"/>
      <c r="W353" s="33">
        <v>2</v>
      </c>
      <c r="Y353" t="s">
        <v>777</v>
      </c>
      <c r="Z353" t="s">
        <v>53</v>
      </c>
      <c r="AA353" t="s">
        <v>51</v>
      </c>
      <c r="AB353" t="s">
        <v>439</v>
      </c>
      <c r="AF353" t="s">
        <v>1437</v>
      </c>
      <c r="AG353" t="s">
        <v>58</v>
      </c>
      <c r="BX353" t="s">
        <v>1808</v>
      </c>
    </row>
    <row r="354" spans="1:104" hidden="1">
      <c r="A354" s="26" t="s">
        <v>781</v>
      </c>
      <c r="B354" s="26" t="s">
        <v>62</v>
      </c>
      <c r="C354" s="27">
        <v>5</v>
      </c>
      <c r="D354" s="27" t="s">
        <v>782</v>
      </c>
      <c r="E354" s="27">
        <v>1</v>
      </c>
      <c r="F354" s="27"/>
      <c r="G354" s="27" t="s">
        <v>52</v>
      </c>
      <c r="H354" s="27"/>
      <c r="I354" s="27"/>
      <c r="J354" s="27"/>
      <c r="K354" s="27" t="s">
        <v>783</v>
      </c>
      <c r="L354" s="27" t="s">
        <v>761</v>
      </c>
      <c r="M354" s="27"/>
      <c r="N354" s="27"/>
      <c r="O354" s="30"/>
      <c r="P354" s="30"/>
      <c r="Q354" s="30"/>
      <c r="R354" s="30"/>
      <c r="S354" s="30"/>
      <c r="T354" s="30"/>
      <c r="U354" s="30" t="s">
        <v>54</v>
      </c>
      <c r="V354" s="30"/>
      <c r="W354" s="28" t="s">
        <v>784</v>
      </c>
      <c r="Y354" t="s">
        <v>40</v>
      </c>
      <c r="Z354" t="s">
        <v>53</v>
      </c>
      <c r="AA354" t="s">
        <v>51</v>
      </c>
      <c r="AB354" t="s">
        <v>785</v>
      </c>
      <c r="AF354" t="s">
        <v>1437</v>
      </c>
      <c r="AG354" t="s">
        <v>58</v>
      </c>
      <c r="BX354" t="s">
        <v>783</v>
      </c>
    </row>
    <row r="355" spans="1:104" hidden="1">
      <c r="A355" s="29" t="s">
        <v>786</v>
      </c>
      <c r="B355" s="29" t="s">
        <v>74</v>
      </c>
      <c r="C355" s="30">
        <v>1</v>
      </c>
      <c r="D355" s="30" t="s">
        <v>787</v>
      </c>
      <c r="E355" s="30">
        <v>1</v>
      </c>
      <c r="F355" s="30"/>
      <c r="G355" s="30" t="s">
        <v>52</v>
      </c>
      <c r="H355" s="30"/>
      <c r="I355" s="30"/>
      <c r="J355" s="30"/>
      <c r="K355" s="30" t="s">
        <v>788</v>
      </c>
      <c r="L355" s="30" t="s">
        <v>787</v>
      </c>
      <c r="M355" s="30">
        <v>0</v>
      </c>
      <c r="N355" s="30"/>
      <c r="O355" s="23"/>
      <c r="P355" s="23"/>
      <c r="Q355" s="23"/>
      <c r="R355" s="23"/>
      <c r="S355" s="23"/>
      <c r="T355" s="23"/>
      <c r="U355" s="23" t="s">
        <v>54</v>
      </c>
      <c r="V355" s="23"/>
      <c r="W355" s="31">
        <v>129.691</v>
      </c>
      <c r="Y355" t="s">
        <v>40</v>
      </c>
      <c r="Z355" t="s">
        <v>53</v>
      </c>
      <c r="AA355" t="s">
        <v>51</v>
      </c>
      <c r="AB355" t="s">
        <v>785</v>
      </c>
      <c r="AF355" t="s">
        <v>1437</v>
      </c>
      <c r="AG355" t="s">
        <v>58</v>
      </c>
      <c r="BX355" t="s">
        <v>788</v>
      </c>
    </row>
    <row r="356" spans="1:104" hidden="1">
      <c r="A356" s="29" t="s">
        <v>789</v>
      </c>
      <c r="B356" s="29" t="s">
        <v>79</v>
      </c>
      <c r="C356" s="30">
        <v>1</v>
      </c>
      <c r="D356" s="30" t="s">
        <v>790</v>
      </c>
      <c r="E356" s="30">
        <v>1</v>
      </c>
      <c r="F356" s="30"/>
      <c r="G356" s="30" t="s">
        <v>52</v>
      </c>
      <c r="H356" s="30"/>
      <c r="I356" s="30"/>
      <c r="J356" s="30"/>
      <c r="K356" s="30" t="s">
        <v>791</v>
      </c>
      <c r="L356" s="30" t="s">
        <v>792</v>
      </c>
      <c r="M356" s="30">
        <v>2</v>
      </c>
      <c r="N356" s="30"/>
      <c r="O356" s="23"/>
      <c r="P356" s="23"/>
      <c r="Q356" s="23"/>
      <c r="R356" s="23"/>
      <c r="S356" s="23" t="s">
        <v>64</v>
      </c>
      <c r="T356" s="23"/>
      <c r="U356" s="23" t="s">
        <v>54</v>
      </c>
      <c r="V356" s="23"/>
      <c r="W356" s="31">
        <v>18.701000000000001</v>
      </c>
      <c r="Y356" t="s">
        <v>40</v>
      </c>
      <c r="Z356" t="s">
        <v>53</v>
      </c>
      <c r="AA356" t="s">
        <v>51</v>
      </c>
      <c r="AB356" t="s">
        <v>785</v>
      </c>
      <c r="AF356" t="s">
        <v>1437</v>
      </c>
      <c r="AG356" t="s">
        <v>58</v>
      </c>
      <c r="BX356" t="s">
        <v>791</v>
      </c>
    </row>
    <row r="357" spans="1:104">
      <c r="A357" s="32" t="s">
        <v>793</v>
      </c>
      <c r="B357" s="32" t="s">
        <v>83</v>
      </c>
      <c r="C357" s="23">
        <v>2</v>
      </c>
      <c r="D357" s="23">
        <v>4047600</v>
      </c>
      <c r="E357" s="23">
        <v>1</v>
      </c>
      <c r="F357" s="23">
        <v>0.82699999999999996</v>
      </c>
      <c r="G357" s="23" t="s">
        <v>89</v>
      </c>
      <c r="H357" s="23">
        <v>376</v>
      </c>
      <c r="I357" s="23" t="s">
        <v>85</v>
      </c>
      <c r="J357" s="23" t="s">
        <v>794</v>
      </c>
      <c r="K357" s="23" t="s">
        <v>795</v>
      </c>
      <c r="L357" s="23" t="s">
        <v>792</v>
      </c>
      <c r="M357" s="23"/>
      <c r="N357" s="23"/>
      <c r="O357" s="23"/>
      <c r="P357" s="23"/>
      <c r="Q357" s="23"/>
      <c r="R357" s="23"/>
      <c r="S357" s="23" t="s">
        <v>64</v>
      </c>
      <c r="T357" s="23"/>
      <c r="U357" s="23" t="s">
        <v>87</v>
      </c>
      <c r="V357" s="23"/>
      <c r="W357" s="33">
        <v>0</v>
      </c>
      <c r="Y357" t="s">
        <v>161</v>
      </c>
      <c r="Z357" t="s">
        <v>53</v>
      </c>
      <c r="AA357" t="s">
        <v>51</v>
      </c>
      <c r="AB357" t="s">
        <v>785</v>
      </c>
      <c r="AC357" t="s">
        <v>1428</v>
      </c>
      <c r="AF357" t="s">
        <v>1437</v>
      </c>
      <c r="AG357" t="s">
        <v>58</v>
      </c>
      <c r="AI357" t="str">
        <f>BY357&amp;"_"&amp;CB357&amp;"_"&amp;L357&amp;"_p"&amp;C357&amp;"_"&amp;E357&amp;"st_"&amp;AK357&amp;"_"&amp;RIGHT(AG357,4)&amp;"_"&amp;AL357</f>
        <v>3_S235_SL40051195_p2_1st_G_2050_L</v>
      </c>
      <c r="AJ357" t="s">
        <v>1429</v>
      </c>
      <c r="AK357" t="str">
        <f>CT357</f>
        <v>G</v>
      </c>
      <c r="AL357" t="str">
        <f>CU357</f>
        <v>L</v>
      </c>
      <c r="AM357" t="s">
        <v>1674</v>
      </c>
      <c r="AZ357" s="64" t="s">
        <v>1580</v>
      </c>
      <c r="BX357" t="s">
        <v>1691</v>
      </c>
      <c r="BY357">
        <v>3</v>
      </c>
      <c r="BZ357" t="s">
        <v>1692</v>
      </c>
      <c r="CA357" t="s">
        <v>1693</v>
      </c>
      <c r="CB357" t="s">
        <v>1895</v>
      </c>
      <c r="CR357" t="s">
        <v>2014</v>
      </c>
      <c r="CS357" t="s">
        <v>1429</v>
      </c>
      <c r="CT357" t="s">
        <v>1900</v>
      </c>
      <c r="CU357" t="s">
        <v>54</v>
      </c>
      <c r="CW357" t="b">
        <f>AI357=CR357</f>
        <v>1</v>
      </c>
      <c r="CX357" t="b">
        <f t="shared" ref="CX357" si="34">AJ357=CS357</f>
        <v>1</v>
      </c>
      <c r="CY357" t="b">
        <f t="shared" ref="CY357" si="35">AK357=CT357</f>
        <v>1</v>
      </c>
      <c r="CZ357" t="b">
        <f t="shared" ref="CZ357" si="36">AL357=CU357</f>
        <v>1</v>
      </c>
    </row>
    <row r="358" spans="1:104" hidden="1">
      <c r="A358" s="29" t="s">
        <v>796</v>
      </c>
      <c r="B358" s="29" t="s">
        <v>79</v>
      </c>
      <c r="C358" s="30">
        <v>2</v>
      </c>
      <c r="D358" s="30" t="s">
        <v>792</v>
      </c>
      <c r="E358" s="30">
        <v>1</v>
      </c>
      <c r="F358" s="30"/>
      <c r="G358" s="30" t="s">
        <v>52</v>
      </c>
      <c r="H358" s="30"/>
      <c r="I358" s="30"/>
      <c r="J358" s="30"/>
      <c r="K358" s="30" t="s">
        <v>791</v>
      </c>
      <c r="L358" s="30" t="s">
        <v>792</v>
      </c>
      <c r="M358" s="30">
        <v>2</v>
      </c>
      <c r="N358" s="30"/>
      <c r="O358" s="23"/>
      <c r="P358" s="23"/>
      <c r="Q358" s="23"/>
      <c r="R358" s="23"/>
      <c r="S358" s="23" t="s">
        <v>64</v>
      </c>
      <c r="T358" s="23"/>
      <c r="U358" s="23" t="s">
        <v>54</v>
      </c>
      <c r="V358" s="23"/>
      <c r="W358" s="31">
        <v>18.701000000000001</v>
      </c>
      <c r="Y358" t="s">
        <v>40</v>
      </c>
      <c r="Z358" t="s">
        <v>53</v>
      </c>
      <c r="AA358" t="s">
        <v>51</v>
      </c>
      <c r="AB358" t="s">
        <v>785</v>
      </c>
      <c r="AF358" t="s">
        <v>1437</v>
      </c>
      <c r="AG358" t="s">
        <v>58</v>
      </c>
      <c r="BX358" t="s">
        <v>791</v>
      </c>
    </row>
    <row r="359" spans="1:104">
      <c r="A359" s="32" t="s">
        <v>797</v>
      </c>
      <c r="B359" s="32" t="s">
        <v>83</v>
      </c>
      <c r="C359" s="23">
        <v>1</v>
      </c>
      <c r="D359" s="23">
        <v>4047600</v>
      </c>
      <c r="E359" s="23">
        <v>1</v>
      </c>
      <c r="F359" s="23">
        <v>0.82699999999999996</v>
      </c>
      <c r="G359" s="23" t="s">
        <v>89</v>
      </c>
      <c r="H359" s="23">
        <v>376</v>
      </c>
      <c r="I359" s="23" t="s">
        <v>85</v>
      </c>
      <c r="J359" s="23" t="s">
        <v>794</v>
      </c>
      <c r="K359" s="23" t="s">
        <v>795</v>
      </c>
      <c r="L359" s="23" t="s">
        <v>792</v>
      </c>
      <c r="M359" s="23"/>
      <c r="N359" s="23"/>
      <c r="O359" s="23"/>
      <c r="P359" s="23"/>
      <c r="Q359" s="23"/>
      <c r="R359" s="23"/>
      <c r="S359" s="23" t="s">
        <v>64</v>
      </c>
      <c r="T359" s="23"/>
      <c r="U359" s="23" t="s">
        <v>87</v>
      </c>
      <c r="V359" s="23"/>
      <c r="W359" s="33">
        <v>0</v>
      </c>
      <c r="Y359" t="s">
        <v>161</v>
      </c>
      <c r="Z359" t="s">
        <v>53</v>
      </c>
      <c r="AA359" t="s">
        <v>51</v>
      </c>
      <c r="AB359" t="s">
        <v>785</v>
      </c>
      <c r="AC359" t="s">
        <v>1428</v>
      </c>
      <c r="AF359" t="s">
        <v>1437</v>
      </c>
      <c r="AG359" t="s">
        <v>58</v>
      </c>
      <c r="AI359" t="str">
        <f>BY359&amp;"_"&amp;CB359&amp;"_"&amp;L359&amp;"_p"&amp;C359&amp;"_"&amp;E359&amp;"st_"&amp;AK359&amp;"_"&amp;RIGHT(AG359,4)&amp;"_"&amp;AL359</f>
        <v>3_S235_SL40051195_p1_1st_G_2050_P</v>
      </c>
      <c r="AJ359" t="s">
        <v>1430</v>
      </c>
      <c r="AK359" t="str">
        <f>CT359</f>
        <v>G</v>
      </c>
      <c r="AL359" t="str">
        <f>CU359</f>
        <v>P</v>
      </c>
      <c r="AM359" t="s">
        <v>1674</v>
      </c>
      <c r="AZ359" s="64" t="s">
        <v>1581</v>
      </c>
      <c r="BX359" t="s">
        <v>1691</v>
      </c>
      <c r="BY359">
        <v>3</v>
      </c>
      <c r="BZ359" t="s">
        <v>1692</v>
      </c>
      <c r="CA359" t="s">
        <v>1693</v>
      </c>
      <c r="CB359" t="s">
        <v>1895</v>
      </c>
      <c r="CR359" t="s">
        <v>2015</v>
      </c>
      <c r="CS359" t="s">
        <v>1430</v>
      </c>
      <c r="CT359" t="s">
        <v>1900</v>
      </c>
      <c r="CU359" t="s">
        <v>1910</v>
      </c>
      <c r="CW359" t="b">
        <f>AI359=CR359</f>
        <v>1</v>
      </c>
      <c r="CX359" t="b">
        <f t="shared" ref="CX359" si="37">AJ359=CS359</f>
        <v>1</v>
      </c>
      <c r="CY359" t="b">
        <f t="shared" ref="CY359" si="38">AK359=CT359</f>
        <v>1</v>
      </c>
      <c r="CZ359" t="b">
        <f t="shared" ref="CZ359" si="39">AL359=CU359</f>
        <v>1</v>
      </c>
    </row>
    <row r="360" spans="1:104" hidden="1">
      <c r="A360" s="29" t="s">
        <v>798</v>
      </c>
      <c r="B360" s="29" t="s">
        <v>79</v>
      </c>
      <c r="C360" s="30">
        <v>3</v>
      </c>
      <c r="D360" s="30" t="s">
        <v>799</v>
      </c>
      <c r="E360" s="30">
        <v>4</v>
      </c>
      <c r="F360" s="30"/>
      <c r="G360" s="30" t="s">
        <v>52</v>
      </c>
      <c r="H360" s="30"/>
      <c r="I360" s="30"/>
      <c r="J360" s="30"/>
      <c r="K360" s="30" t="s">
        <v>800</v>
      </c>
      <c r="L360" s="30" t="s">
        <v>799</v>
      </c>
      <c r="M360" s="30">
        <v>3</v>
      </c>
      <c r="N360" s="30"/>
      <c r="O360" s="23"/>
      <c r="P360" s="23"/>
      <c r="Q360" s="23"/>
      <c r="R360" s="23"/>
      <c r="S360" s="23"/>
      <c r="T360" s="23"/>
      <c r="U360" s="23" t="s">
        <v>54</v>
      </c>
      <c r="V360" s="23"/>
      <c r="W360" s="31">
        <v>2.6440000000000001</v>
      </c>
      <c r="Y360" t="s">
        <v>40</v>
      </c>
      <c r="Z360" t="s">
        <v>53</v>
      </c>
      <c r="AA360" t="s">
        <v>51</v>
      </c>
      <c r="AB360" t="s">
        <v>785</v>
      </c>
      <c r="AF360" t="s">
        <v>1437</v>
      </c>
      <c r="AG360" t="s">
        <v>58</v>
      </c>
      <c r="BX360" t="s">
        <v>800</v>
      </c>
    </row>
    <row r="361" spans="1:104">
      <c r="A361" s="32" t="s">
        <v>801</v>
      </c>
      <c r="B361" s="32" t="s">
        <v>83</v>
      </c>
      <c r="C361" s="23">
        <v>1</v>
      </c>
      <c r="D361" s="23">
        <v>3670100</v>
      </c>
      <c r="E361" s="23">
        <v>4</v>
      </c>
      <c r="F361" s="23">
        <v>0.27100000000000002</v>
      </c>
      <c r="G361" s="23" t="s">
        <v>89</v>
      </c>
      <c r="H361" s="23">
        <v>755</v>
      </c>
      <c r="I361" s="23" t="s">
        <v>85</v>
      </c>
      <c r="J361" s="23">
        <v>90</v>
      </c>
      <c r="K361" s="23" t="s">
        <v>188</v>
      </c>
      <c r="L361" s="23" t="s">
        <v>799</v>
      </c>
      <c r="M361" s="23"/>
      <c r="N361" s="23"/>
      <c r="O361" s="23"/>
      <c r="P361" s="23"/>
      <c r="Q361" s="23"/>
      <c r="R361" s="23"/>
      <c r="S361" s="23" t="s">
        <v>64</v>
      </c>
      <c r="T361" s="23"/>
      <c r="U361" s="23" t="s">
        <v>87</v>
      </c>
      <c r="V361" s="23"/>
      <c r="W361" s="33">
        <v>0</v>
      </c>
      <c r="Y361" t="s">
        <v>161</v>
      </c>
      <c r="Z361" t="s">
        <v>53</v>
      </c>
      <c r="AA361" t="s">
        <v>51</v>
      </c>
      <c r="AB361" t="s">
        <v>785</v>
      </c>
      <c r="AF361" t="s">
        <v>1437</v>
      </c>
      <c r="AG361" t="s">
        <v>58</v>
      </c>
      <c r="AI361" t="str">
        <f>BY361&amp;"_"&amp;CB361&amp;"_"&amp;L361&amp;"_p"&amp;C361&amp;"_"&amp;E361&amp;"st_"&amp;AK361&amp;"_"&amp;RIGHT(AG361,4)&amp;"_"&amp;AL361</f>
        <v>5_S235_SL41051205_p1_4st_GS_2050_</v>
      </c>
      <c r="AK361" t="str">
        <f>CT361</f>
        <v>GS</v>
      </c>
      <c r="AM361" t="s">
        <v>1674</v>
      </c>
      <c r="AZ361" s="64" t="s">
        <v>1582</v>
      </c>
      <c r="BX361" t="s">
        <v>1691</v>
      </c>
      <c r="BY361">
        <v>5</v>
      </c>
      <c r="BZ361" t="s">
        <v>1692</v>
      </c>
      <c r="CA361" t="s">
        <v>1693</v>
      </c>
      <c r="CB361" t="s">
        <v>1895</v>
      </c>
      <c r="CR361" t="s">
        <v>2016</v>
      </c>
      <c r="CT361" t="s">
        <v>1903</v>
      </c>
      <c r="CW361" t="b">
        <f>AI361=CR361</f>
        <v>1</v>
      </c>
      <c r="CX361" t="b">
        <f t="shared" ref="CX361" si="40">AJ361=CS361</f>
        <v>1</v>
      </c>
      <c r="CY361" t="b">
        <f t="shared" ref="CY361" si="41">AK361=CT361</f>
        <v>1</v>
      </c>
      <c r="CZ361" t="b">
        <f t="shared" ref="CZ361" si="42">AL361=CU361</f>
        <v>1</v>
      </c>
    </row>
    <row r="362" spans="1:104" hidden="1">
      <c r="A362" s="32" t="s">
        <v>802</v>
      </c>
      <c r="B362" s="32" t="s">
        <v>83</v>
      </c>
      <c r="C362" s="23">
        <v>101</v>
      </c>
      <c r="D362" s="23">
        <v>7860400</v>
      </c>
      <c r="E362" s="23">
        <v>4</v>
      </c>
      <c r="F362" s="23"/>
      <c r="G362" s="23" t="s">
        <v>52</v>
      </c>
      <c r="H362" s="23"/>
      <c r="I362" s="23"/>
      <c r="J362" s="23"/>
      <c r="K362" s="23" t="s">
        <v>803</v>
      </c>
      <c r="L362" s="23" t="s">
        <v>799</v>
      </c>
      <c r="M362" s="23"/>
      <c r="N362" s="23"/>
      <c r="O362" s="23"/>
      <c r="P362" s="23"/>
      <c r="Q362" s="23"/>
      <c r="R362" s="23"/>
      <c r="S362" s="23" t="s">
        <v>64</v>
      </c>
      <c r="T362" s="23"/>
      <c r="U362" s="23" t="s">
        <v>17</v>
      </c>
      <c r="V362" s="23"/>
      <c r="W362" s="33">
        <v>0.01</v>
      </c>
      <c r="Y362" t="s">
        <v>124</v>
      </c>
      <c r="Z362" t="s">
        <v>53</v>
      </c>
      <c r="AA362" t="s">
        <v>51</v>
      </c>
      <c r="AB362" t="s">
        <v>785</v>
      </c>
      <c r="AF362" t="s">
        <v>1437</v>
      </c>
      <c r="AG362" t="s">
        <v>58</v>
      </c>
      <c r="BX362" t="s">
        <v>1799</v>
      </c>
      <c r="BY362" t="s">
        <v>229</v>
      </c>
      <c r="BZ362" t="s">
        <v>1809</v>
      </c>
      <c r="CA362" t="s">
        <v>1801</v>
      </c>
      <c r="CB362" t="s">
        <v>1802</v>
      </c>
    </row>
    <row r="363" spans="1:104" hidden="1">
      <c r="A363" s="29" t="s">
        <v>804</v>
      </c>
      <c r="B363" s="29" t="s">
        <v>79</v>
      </c>
      <c r="C363" s="30">
        <v>4</v>
      </c>
      <c r="D363" s="30" t="s">
        <v>805</v>
      </c>
      <c r="E363" s="30">
        <v>2</v>
      </c>
      <c r="F363" s="30"/>
      <c r="G363" s="30" t="s">
        <v>52</v>
      </c>
      <c r="H363" s="30"/>
      <c r="I363" s="30"/>
      <c r="J363" s="30"/>
      <c r="K363" s="30" t="s">
        <v>806</v>
      </c>
      <c r="L363" s="30" t="s">
        <v>805</v>
      </c>
      <c r="M363" s="30">
        <v>2</v>
      </c>
      <c r="N363" s="30"/>
      <c r="O363" s="23"/>
      <c r="P363" s="23"/>
      <c r="Q363" s="23"/>
      <c r="R363" s="23"/>
      <c r="S363" s="23" t="s">
        <v>64</v>
      </c>
      <c r="T363" s="23"/>
      <c r="U363" s="23" t="s">
        <v>54</v>
      </c>
      <c r="V363" s="23"/>
      <c r="W363" s="31">
        <v>4</v>
      </c>
      <c r="Y363" t="s">
        <v>40</v>
      </c>
      <c r="Z363" t="s">
        <v>53</v>
      </c>
      <c r="AA363" t="s">
        <v>51</v>
      </c>
      <c r="AB363" t="s">
        <v>785</v>
      </c>
      <c r="AC363" t="s">
        <v>1420</v>
      </c>
      <c r="AF363" t="s">
        <v>1437</v>
      </c>
      <c r="AG363" t="s">
        <v>58</v>
      </c>
      <c r="BX363" t="s">
        <v>806</v>
      </c>
    </row>
    <row r="364" spans="1:104" hidden="1">
      <c r="A364" s="32" t="s">
        <v>807</v>
      </c>
      <c r="B364" s="32" t="s">
        <v>83</v>
      </c>
      <c r="C364" s="23">
        <v>1</v>
      </c>
      <c r="D364" s="23">
        <v>3740200</v>
      </c>
      <c r="E364" s="23">
        <v>2</v>
      </c>
      <c r="F364" s="23">
        <v>0.25800000000000001</v>
      </c>
      <c r="G364" s="23" t="s">
        <v>89</v>
      </c>
      <c r="H364" s="23" t="s">
        <v>808</v>
      </c>
      <c r="I364" s="23" t="s">
        <v>85</v>
      </c>
      <c r="J364" s="23">
        <v>65</v>
      </c>
      <c r="K364" s="23" t="s">
        <v>92</v>
      </c>
      <c r="L364" s="23" t="s">
        <v>805</v>
      </c>
      <c r="M364" s="23"/>
      <c r="N364" s="23"/>
      <c r="O364" s="23"/>
      <c r="P364" s="23"/>
      <c r="Q364" s="23"/>
      <c r="R364" s="23"/>
      <c r="S364" s="23" t="s">
        <v>64</v>
      </c>
      <c r="T364" s="23"/>
      <c r="U364" s="23" t="s">
        <v>87</v>
      </c>
      <c r="V364" s="23"/>
      <c r="W364" s="33">
        <v>0</v>
      </c>
      <c r="Y364" t="s">
        <v>161</v>
      </c>
      <c r="Z364" t="s">
        <v>53</v>
      </c>
      <c r="AA364" t="s">
        <v>51</v>
      </c>
      <c r="AB364" t="s">
        <v>785</v>
      </c>
      <c r="AC364" t="s">
        <v>1420</v>
      </c>
      <c r="AF364" t="s">
        <v>1437</v>
      </c>
      <c r="AG364" t="s">
        <v>58</v>
      </c>
      <c r="AI364" t="str">
        <f>BY364&amp;"_"&amp;CB364&amp;"_"&amp;L364&amp;"_p"&amp;C364&amp;"_"&amp;E364&amp;"st_"&amp;AK364&amp;"_"&amp;RIGHT(AG364,4)&amp;"_"&amp;AL364</f>
        <v>4_S235_SL40051402_p1_2st__2050_</v>
      </c>
      <c r="AM364" t="s">
        <v>1673</v>
      </c>
      <c r="AZ364" s="64" t="s">
        <v>1583</v>
      </c>
      <c r="BA364" s="64" t="s">
        <v>1584</v>
      </c>
      <c r="BX364" t="s">
        <v>1691</v>
      </c>
      <c r="BY364">
        <v>4</v>
      </c>
      <c r="BZ364" t="s">
        <v>1692</v>
      </c>
      <c r="CA364" t="s">
        <v>1693</v>
      </c>
      <c r="CB364" t="s">
        <v>1895</v>
      </c>
      <c r="CG364">
        <v>4</v>
      </c>
      <c r="CH364" t="s">
        <v>1895</v>
      </c>
      <c r="CI364" t="s">
        <v>805</v>
      </c>
      <c r="CJ364" t="s">
        <v>1898</v>
      </c>
      <c r="CK364" t="s">
        <v>1899</v>
      </c>
      <c r="CL364" t="s">
        <v>1900</v>
      </c>
      <c r="CM364">
        <v>3902</v>
      </c>
      <c r="CN364">
        <v>2</v>
      </c>
      <c r="CR364" t="s">
        <v>2017</v>
      </c>
    </row>
    <row r="365" spans="1:104" hidden="1">
      <c r="A365" s="29" t="s">
        <v>809</v>
      </c>
      <c r="B365" s="29" t="s">
        <v>79</v>
      </c>
      <c r="C365" s="30">
        <v>5</v>
      </c>
      <c r="D365" s="30" t="s">
        <v>810</v>
      </c>
      <c r="E365" s="30">
        <v>2</v>
      </c>
      <c r="F365" s="30"/>
      <c r="G365" s="30" t="s">
        <v>52</v>
      </c>
      <c r="H365" s="30"/>
      <c r="I365" s="30"/>
      <c r="J365" s="30"/>
      <c r="K365" s="30" t="s">
        <v>811</v>
      </c>
      <c r="L365" s="30" t="s">
        <v>810</v>
      </c>
      <c r="M365" s="30">
        <v>3</v>
      </c>
      <c r="N365" s="30"/>
      <c r="O365" s="23"/>
      <c r="P365" s="23"/>
      <c r="Q365" s="23"/>
      <c r="R365" s="23"/>
      <c r="S365" s="23" t="s">
        <v>64</v>
      </c>
      <c r="T365" s="23"/>
      <c r="U365" s="23" t="s">
        <v>54</v>
      </c>
      <c r="V365" s="23"/>
      <c r="W365" s="31">
        <v>4.5999999999999996</v>
      </c>
      <c r="Y365" t="s">
        <v>40</v>
      </c>
      <c r="Z365" t="s">
        <v>53</v>
      </c>
      <c r="AA365" t="s">
        <v>51</v>
      </c>
      <c r="AB365" t="s">
        <v>785</v>
      </c>
      <c r="AC365" t="s">
        <v>1420</v>
      </c>
      <c r="AF365" t="s">
        <v>1437</v>
      </c>
      <c r="AG365" t="s">
        <v>58</v>
      </c>
      <c r="BX365" t="s">
        <v>811</v>
      </c>
    </row>
    <row r="366" spans="1:104" hidden="1">
      <c r="A366" s="32" t="s">
        <v>812</v>
      </c>
      <c r="B366" s="32" t="s">
        <v>83</v>
      </c>
      <c r="C366" s="23">
        <v>1</v>
      </c>
      <c r="D366" s="23" t="s">
        <v>813</v>
      </c>
      <c r="E366" s="23">
        <v>2</v>
      </c>
      <c r="F366" s="23">
        <v>4</v>
      </c>
      <c r="G366" s="23" t="s">
        <v>408</v>
      </c>
      <c r="H366" s="23" t="s">
        <v>814</v>
      </c>
      <c r="I366" s="23" t="s">
        <v>85</v>
      </c>
      <c r="J366" s="23">
        <v>0</v>
      </c>
      <c r="K366" s="23" t="s">
        <v>815</v>
      </c>
      <c r="L366" s="23" t="s">
        <v>810</v>
      </c>
      <c r="M366" s="23"/>
      <c r="N366" s="23"/>
      <c r="O366" s="23"/>
      <c r="P366" s="23"/>
      <c r="Q366" s="23"/>
      <c r="R366" s="23"/>
      <c r="S366" s="23" t="s">
        <v>64</v>
      </c>
      <c r="T366" s="23"/>
      <c r="U366" s="23" t="s">
        <v>17</v>
      </c>
      <c r="V366" s="23"/>
      <c r="W366" s="33">
        <v>2.1800000000000002</v>
      </c>
      <c r="Y366" t="s">
        <v>259</v>
      </c>
      <c r="Z366" t="s">
        <v>53</v>
      </c>
      <c r="AA366" t="s">
        <v>51</v>
      </c>
      <c r="AB366" t="s">
        <v>785</v>
      </c>
      <c r="AC366" t="s">
        <v>1420</v>
      </c>
      <c r="AF366" t="s">
        <v>1437</v>
      </c>
      <c r="AG366" t="s">
        <v>58</v>
      </c>
      <c r="BX366" t="s">
        <v>1795</v>
      </c>
      <c r="BY366" t="s">
        <v>1810</v>
      </c>
    </row>
    <row r="367" spans="1:104" hidden="1">
      <c r="A367" s="29" t="s">
        <v>816</v>
      </c>
      <c r="B367" s="29" t="s">
        <v>79</v>
      </c>
      <c r="C367" s="30">
        <v>6</v>
      </c>
      <c r="D367" s="30" t="s">
        <v>817</v>
      </c>
      <c r="E367" s="30">
        <v>1</v>
      </c>
      <c r="F367" s="30"/>
      <c r="G367" s="30" t="s">
        <v>52</v>
      </c>
      <c r="H367" s="30"/>
      <c r="I367" s="30"/>
      <c r="J367" s="30"/>
      <c r="K367" s="30" t="s">
        <v>818</v>
      </c>
      <c r="L367" s="30" t="s">
        <v>817</v>
      </c>
      <c r="M367" s="30">
        <v>3</v>
      </c>
      <c r="N367" s="30"/>
      <c r="O367" s="23"/>
      <c r="P367" s="23"/>
      <c r="Q367" s="23"/>
      <c r="R367" s="23"/>
      <c r="S367" s="23"/>
      <c r="T367" s="23"/>
      <c r="U367" s="23" t="s">
        <v>54</v>
      </c>
      <c r="V367" s="23"/>
      <c r="W367" s="31">
        <v>20.225999999999999</v>
      </c>
      <c r="Y367" t="s">
        <v>40</v>
      </c>
      <c r="Z367" t="s">
        <v>53</v>
      </c>
      <c r="AA367" t="s">
        <v>51</v>
      </c>
      <c r="AB367" t="s">
        <v>785</v>
      </c>
      <c r="AF367" t="s">
        <v>1437</v>
      </c>
      <c r="AG367" t="s">
        <v>58</v>
      </c>
      <c r="BX367" t="s">
        <v>818</v>
      </c>
    </row>
    <row r="368" spans="1:104">
      <c r="A368" s="32" t="s">
        <v>819</v>
      </c>
      <c r="B368" s="32" t="s">
        <v>83</v>
      </c>
      <c r="C368" s="23">
        <v>1</v>
      </c>
      <c r="D368" s="23">
        <v>155000</v>
      </c>
      <c r="E368" s="23">
        <v>1</v>
      </c>
      <c r="F368" s="23">
        <v>0.96599999999999997</v>
      </c>
      <c r="G368" s="23" t="s">
        <v>89</v>
      </c>
      <c r="H368" s="23" t="s">
        <v>820</v>
      </c>
      <c r="I368" s="23" t="s">
        <v>85</v>
      </c>
      <c r="J368" s="23">
        <v>705</v>
      </c>
      <c r="K368" s="23" t="s">
        <v>209</v>
      </c>
      <c r="L368" s="23" t="s">
        <v>817</v>
      </c>
      <c r="M368" s="23"/>
      <c r="N368" s="23"/>
      <c r="O368" s="23"/>
      <c r="P368" s="23"/>
      <c r="Q368" s="23"/>
      <c r="R368" s="23"/>
      <c r="S368" s="23" t="s">
        <v>64</v>
      </c>
      <c r="T368" s="23"/>
      <c r="U368" s="23" t="s">
        <v>87</v>
      </c>
      <c r="V368" s="23"/>
      <c r="W368" s="33">
        <v>0</v>
      </c>
      <c r="Y368" t="s">
        <v>161</v>
      </c>
      <c r="Z368" t="s">
        <v>53</v>
      </c>
      <c r="AA368" t="s">
        <v>51</v>
      </c>
      <c r="AB368" t="s">
        <v>785</v>
      </c>
      <c r="AC368" t="s">
        <v>1428</v>
      </c>
      <c r="AF368" t="s">
        <v>1437</v>
      </c>
      <c r="AG368" t="s">
        <v>58</v>
      </c>
      <c r="AI368" t="str">
        <f>BY368&amp;"_"&amp;CB368&amp;"_"&amp;L368&amp;"_p"&amp;C368&amp;"_"&amp;E368&amp;"st_"&amp;AK368&amp;"_"&amp;RIGHT(AG368,4)&amp;"_"&amp;AL368</f>
        <v>3_S235_SL41051615_p1_1st_G_2050_</v>
      </c>
      <c r="AK368" t="str">
        <f>CT368</f>
        <v>G</v>
      </c>
      <c r="AM368" t="s">
        <v>1674</v>
      </c>
      <c r="AZ368" s="64" t="s">
        <v>1585</v>
      </c>
      <c r="BX368" t="s">
        <v>1691</v>
      </c>
      <c r="BY368">
        <v>3</v>
      </c>
      <c r="BZ368" t="s">
        <v>1692</v>
      </c>
      <c r="CA368" t="s">
        <v>1736</v>
      </c>
      <c r="CB368" t="s">
        <v>1895</v>
      </c>
      <c r="CR368" t="s">
        <v>2018</v>
      </c>
      <c r="CT368" t="s">
        <v>1900</v>
      </c>
      <c r="CW368" t="b">
        <f>AI368=CR368</f>
        <v>1</v>
      </c>
      <c r="CX368" t="b">
        <f t="shared" ref="CX368" si="43">AJ368=CS368</f>
        <v>1</v>
      </c>
      <c r="CY368" t="b">
        <f t="shared" ref="CY368" si="44">AK368=CT368</f>
        <v>1</v>
      </c>
      <c r="CZ368" t="b">
        <f t="shared" ref="CZ368" si="45">AL368=CU368</f>
        <v>1</v>
      </c>
    </row>
    <row r="369" spans="1:104" hidden="1">
      <c r="A369" s="29" t="s">
        <v>821</v>
      </c>
      <c r="B369" s="29" t="s">
        <v>79</v>
      </c>
      <c r="C369" s="30">
        <v>7</v>
      </c>
      <c r="D369" s="30" t="s">
        <v>822</v>
      </c>
      <c r="E369" s="30">
        <v>1</v>
      </c>
      <c r="F369" s="30"/>
      <c r="G369" s="30" t="s">
        <v>52</v>
      </c>
      <c r="H369" s="30"/>
      <c r="I369" s="30"/>
      <c r="J369" s="30"/>
      <c r="K369" s="30" t="s">
        <v>823</v>
      </c>
      <c r="L369" s="30" t="s">
        <v>822</v>
      </c>
      <c r="M369" s="30">
        <v>3</v>
      </c>
      <c r="N369" s="30"/>
      <c r="O369" s="23"/>
      <c r="P369" s="23"/>
      <c r="Q369" s="23"/>
      <c r="R369" s="23"/>
      <c r="S369" s="23"/>
      <c r="T369" s="23"/>
      <c r="U369" s="23" t="s">
        <v>54</v>
      </c>
      <c r="V369" s="23"/>
      <c r="W369" s="31">
        <v>10.025</v>
      </c>
      <c r="Y369" t="s">
        <v>40</v>
      </c>
      <c r="Z369" t="s">
        <v>53</v>
      </c>
      <c r="AA369" t="s">
        <v>51</v>
      </c>
      <c r="AB369" t="s">
        <v>785</v>
      </c>
      <c r="AF369" t="s">
        <v>1437</v>
      </c>
      <c r="AG369" t="s">
        <v>58</v>
      </c>
      <c r="BX369" t="s">
        <v>823</v>
      </c>
    </row>
    <row r="370" spans="1:104">
      <c r="A370" s="32" t="s">
        <v>824</v>
      </c>
      <c r="B370" s="32" t="s">
        <v>83</v>
      </c>
      <c r="C370" s="23">
        <v>1</v>
      </c>
      <c r="D370" s="23">
        <v>3740200</v>
      </c>
      <c r="E370" s="23">
        <v>1</v>
      </c>
      <c r="F370" s="23">
        <v>0.217</v>
      </c>
      <c r="G370" s="23" t="s">
        <v>89</v>
      </c>
      <c r="H370" s="23" t="s">
        <v>251</v>
      </c>
      <c r="I370" s="23" t="s">
        <v>85</v>
      </c>
      <c r="J370" s="23">
        <v>188</v>
      </c>
      <c r="K370" s="23" t="s">
        <v>92</v>
      </c>
      <c r="L370" s="23" t="s">
        <v>822</v>
      </c>
      <c r="M370" s="23"/>
      <c r="N370" s="23"/>
      <c r="O370" s="23"/>
      <c r="P370" s="23"/>
      <c r="Q370" s="23"/>
      <c r="R370" s="23"/>
      <c r="S370" s="23" t="s">
        <v>64</v>
      </c>
      <c r="T370" s="23"/>
      <c r="U370" s="23" t="s">
        <v>87</v>
      </c>
      <c r="V370" s="23"/>
      <c r="W370" s="33">
        <v>0</v>
      </c>
      <c r="Y370" t="s">
        <v>161</v>
      </c>
      <c r="Z370" t="s">
        <v>53</v>
      </c>
      <c r="AA370" t="s">
        <v>51</v>
      </c>
      <c r="AB370" t="s">
        <v>785</v>
      </c>
      <c r="AF370" t="s">
        <v>1437</v>
      </c>
      <c r="AG370" t="s">
        <v>58</v>
      </c>
      <c r="AI370" t="str">
        <f t="shared" ref="AI370:AI371" si="46">BY370&amp;"_"&amp;CB370&amp;"_"&amp;L370&amp;"_p"&amp;C370&amp;"_"&amp;E370&amp;"st_"&amp;AK370&amp;"_"&amp;RIGHT(AG370,4)&amp;"_"&amp;AL370</f>
        <v>4_S235_SL41051714_p1_1st_G_2050_</v>
      </c>
      <c r="AK370" t="str">
        <f t="shared" ref="AK370" si="47">CT370</f>
        <v>G</v>
      </c>
      <c r="AM370" t="s">
        <v>1674</v>
      </c>
      <c r="AZ370" s="64" t="s">
        <v>1586</v>
      </c>
      <c r="BX370" t="s">
        <v>1691</v>
      </c>
      <c r="BY370">
        <v>4</v>
      </c>
      <c r="BZ370" t="s">
        <v>1692</v>
      </c>
      <c r="CA370" t="s">
        <v>1693</v>
      </c>
      <c r="CB370" t="s">
        <v>1895</v>
      </c>
      <c r="CR370" t="s">
        <v>2019</v>
      </c>
      <c r="CT370" t="s">
        <v>1900</v>
      </c>
      <c r="CW370" t="b">
        <f t="shared" ref="CW370:CW371" si="48">AI370=CR370</f>
        <v>1</v>
      </c>
      <c r="CX370" t="b">
        <f t="shared" ref="CX370:CX371" si="49">AJ370=CS370</f>
        <v>1</v>
      </c>
      <c r="CY370" t="b">
        <f t="shared" ref="CY370:CY371" si="50">AK370=CT370</f>
        <v>1</v>
      </c>
      <c r="CZ370" t="b">
        <f t="shared" ref="CZ370:CZ371" si="51">AL370=CU370</f>
        <v>1</v>
      </c>
    </row>
    <row r="371" spans="1:104">
      <c r="A371" s="32" t="s">
        <v>825</v>
      </c>
      <c r="B371" s="32" t="s">
        <v>83</v>
      </c>
      <c r="C371" s="23">
        <v>2</v>
      </c>
      <c r="D371" s="23">
        <v>3740200</v>
      </c>
      <c r="E371" s="23">
        <v>1</v>
      </c>
      <c r="F371" s="23">
        <v>3.2000000000000001E-2</v>
      </c>
      <c r="G371" s="23" t="s">
        <v>89</v>
      </c>
      <c r="H371" s="23">
        <v>650</v>
      </c>
      <c r="I371" s="23" t="s">
        <v>85</v>
      </c>
      <c r="J371" s="23">
        <v>50</v>
      </c>
      <c r="K371" s="23" t="s">
        <v>92</v>
      </c>
      <c r="L371" s="23" t="s">
        <v>822</v>
      </c>
      <c r="M371" s="23"/>
      <c r="N371" s="23"/>
      <c r="O371" s="23"/>
      <c r="P371" s="23"/>
      <c r="Q371" s="23"/>
      <c r="R371" s="23"/>
      <c r="S371" s="23" t="s">
        <v>64</v>
      </c>
      <c r="T371" s="23"/>
      <c r="U371" s="23" t="s">
        <v>87</v>
      </c>
      <c r="V371" s="23"/>
      <c r="W371" s="33">
        <v>0</v>
      </c>
      <c r="Y371" t="s">
        <v>161</v>
      </c>
      <c r="Z371" t="s">
        <v>53</v>
      </c>
      <c r="AA371" t="s">
        <v>51</v>
      </c>
      <c r="AB371" t="s">
        <v>785</v>
      </c>
      <c r="AF371" t="s">
        <v>1437</v>
      </c>
      <c r="AG371" t="s">
        <v>58</v>
      </c>
      <c r="AI371" t="str">
        <f t="shared" si="46"/>
        <v>4_S235_SL41051714_p2_1st__2050_</v>
      </c>
      <c r="AM371" t="s">
        <v>1674</v>
      </c>
      <c r="AZ371" s="64" t="s">
        <v>1587</v>
      </c>
      <c r="BX371" t="s">
        <v>1691</v>
      </c>
      <c r="BY371">
        <v>4</v>
      </c>
      <c r="BZ371" t="s">
        <v>1692</v>
      </c>
      <c r="CA371" t="s">
        <v>1693</v>
      </c>
      <c r="CB371" t="s">
        <v>1895</v>
      </c>
      <c r="CR371" t="s">
        <v>2020</v>
      </c>
      <c r="CW371" t="b">
        <f t="shared" si="48"/>
        <v>1</v>
      </c>
      <c r="CX371" t="b">
        <f t="shared" si="49"/>
        <v>1</v>
      </c>
      <c r="CY371" t="b">
        <f t="shared" si="50"/>
        <v>1</v>
      </c>
      <c r="CZ371" t="b">
        <f t="shared" si="51"/>
        <v>1</v>
      </c>
    </row>
    <row r="372" spans="1:104" hidden="1">
      <c r="A372" s="29" t="s">
        <v>826</v>
      </c>
      <c r="B372" s="29" t="s">
        <v>83</v>
      </c>
      <c r="C372" s="30">
        <v>3</v>
      </c>
      <c r="D372" s="30" t="s">
        <v>827</v>
      </c>
      <c r="E372" s="30">
        <v>1</v>
      </c>
      <c r="F372" s="30"/>
      <c r="G372" s="30" t="s">
        <v>52</v>
      </c>
      <c r="H372" s="30"/>
      <c r="I372" s="30"/>
      <c r="J372" s="30"/>
      <c r="K372" s="30" t="s">
        <v>828</v>
      </c>
      <c r="L372" s="30" t="s">
        <v>827</v>
      </c>
      <c r="M372" s="30">
        <v>3</v>
      </c>
      <c r="N372" s="30"/>
      <c r="O372" s="23"/>
      <c r="P372" s="23"/>
      <c r="Q372" s="23"/>
      <c r="R372" s="23"/>
      <c r="S372" s="23" t="s">
        <v>64</v>
      </c>
      <c r="T372" s="23"/>
      <c r="U372" s="23" t="s">
        <v>54</v>
      </c>
      <c r="V372" s="23"/>
      <c r="W372" s="31">
        <v>1.4570000000000001</v>
      </c>
      <c r="Y372" t="s">
        <v>40</v>
      </c>
      <c r="Z372" t="s">
        <v>53</v>
      </c>
      <c r="AA372" t="s">
        <v>51</v>
      </c>
      <c r="AB372" t="s">
        <v>785</v>
      </c>
      <c r="AF372" t="s">
        <v>1437</v>
      </c>
      <c r="AG372" t="s">
        <v>58</v>
      </c>
      <c r="BX372" t="s">
        <v>828</v>
      </c>
    </row>
    <row r="373" spans="1:104" hidden="1">
      <c r="A373" s="32" t="s">
        <v>829</v>
      </c>
      <c r="B373" s="32" t="s">
        <v>220</v>
      </c>
      <c r="C373" s="23">
        <v>1</v>
      </c>
      <c r="D373" s="23">
        <v>3683600</v>
      </c>
      <c r="E373" s="23">
        <v>1</v>
      </c>
      <c r="F373" s="23"/>
      <c r="G373" s="23" t="s">
        <v>89</v>
      </c>
      <c r="H373" s="23">
        <v>950</v>
      </c>
      <c r="I373" s="23" t="s">
        <v>85</v>
      </c>
      <c r="J373" s="23">
        <v>320</v>
      </c>
      <c r="K373" s="23" t="s">
        <v>258</v>
      </c>
      <c r="L373" s="23" t="s">
        <v>827</v>
      </c>
      <c r="M373" s="23"/>
      <c r="N373" s="23"/>
      <c r="O373" s="23"/>
      <c r="P373" s="23"/>
      <c r="Q373" s="23"/>
      <c r="R373" s="23"/>
      <c r="S373" s="23" t="s">
        <v>64</v>
      </c>
      <c r="T373" s="23"/>
      <c r="U373" s="23" t="s">
        <v>17</v>
      </c>
      <c r="V373" s="23"/>
      <c r="W373" s="33">
        <v>0</v>
      </c>
      <c r="Y373" t="s">
        <v>259</v>
      </c>
      <c r="Z373" t="s">
        <v>53</v>
      </c>
      <c r="AA373" t="s">
        <v>51</v>
      </c>
      <c r="AB373" t="s">
        <v>785</v>
      </c>
      <c r="AF373" t="s">
        <v>1437</v>
      </c>
      <c r="AG373" t="s">
        <v>58</v>
      </c>
      <c r="BX373" t="s">
        <v>1744</v>
      </c>
      <c r="BY373">
        <v>4</v>
      </c>
      <c r="BZ373" t="s">
        <v>1745</v>
      </c>
      <c r="CA373" t="s">
        <v>1746</v>
      </c>
      <c r="CB373" t="s">
        <v>1747</v>
      </c>
    </row>
    <row r="374" spans="1:104" hidden="1">
      <c r="A374" s="29" t="s">
        <v>830</v>
      </c>
      <c r="B374" s="29" t="s">
        <v>83</v>
      </c>
      <c r="C374" s="30">
        <v>4</v>
      </c>
      <c r="D374" s="30" t="s">
        <v>831</v>
      </c>
      <c r="E374" s="30">
        <v>1</v>
      </c>
      <c r="F374" s="30"/>
      <c r="G374" s="30" t="s">
        <v>52</v>
      </c>
      <c r="H374" s="30"/>
      <c r="I374" s="30"/>
      <c r="J374" s="30"/>
      <c r="K374" s="30" t="s">
        <v>832</v>
      </c>
      <c r="L374" s="30" t="s">
        <v>831</v>
      </c>
      <c r="M374" s="30">
        <v>3</v>
      </c>
      <c r="N374" s="30"/>
      <c r="O374" s="23"/>
      <c r="P374" s="23"/>
      <c r="Q374" s="23"/>
      <c r="R374" s="23"/>
      <c r="S374" s="23" t="s">
        <v>64</v>
      </c>
      <c r="T374" s="23"/>
      <c r="U374" s="23" t="s">
        <v>54</v>
      </c>
      <c r="V374" s="23"/>
      <c r="W374" s="31">
        <v>3.0590000000000002</v>
      </c>
      <c r="Y374" t="s">
        <v>40</v>
      </c>
      <c r="Z374" t="s">
        <v>53</v>
      </c>
      <c r="AA374" t="s">
        <v>51</v>
      </c>
      <c r="AB374" t="s">
        <v>785</v>
      </c>
      <c r="AF374" t="s">
        <v>1437</v>
      </c>
      <c r="AG374" t="s">
        <v>58</v>
      </c>
      <c r="BX374" t="s">
        <v>832</v>
      </c>
    </row>
    <row r="375" spans="1:104" hidden="1">
      <c r="A375" s="32" t="s">
        <v>833</v>
      </c>
      <c r="B375" s="32" t="s">
        <v>220</v>
      </c>
      <c r="C375" s="23">
        <v>1</v>
      </c>
      <c r="D375" s="23">
        <v>2612800</v>
      </c>
      <c r="E375" s="23">
        <v>1</v>
      </c>
      <c r="F375" s="23"/>
      <c r="G375" s="23" t="s">
        <v>89</v>
      </c>
      <c r="H375" s="23">
        <v>840</v>
      </c>
      <c r="I375" s="23" t="s">
        <v>85</v>
      </c>
      <c r="J375" s="23">
        <v>380</v>
      </c>
      <c r="K375" s="23" t="s">
        <v>834</v>
      </c>
      <c r="L375" s="23" t="s">
        <v>831</v>
      </c>
      <c r="M375" s="23"/>
      <c r="N375" s="23"/>
      <c r="O375" s="23"/>
      <c r="P375" s="23"/>
      <c r="Q375" s="23"/>
      <c r="R375" s="23"/>
      <c r="S375" s="23" t="s">
        <v>64</v>
      </c>
      <c r="T375" s="23"/>
      <c r="U375" s="23" t="s">
        <v>17</v>
      </c>
      <c r="V375" s="23"/>
      <c r="W375" s="33">
        <v>0</v>
      </c>
      <c r="Y375" t="s">
        <v>259</v>
      </c>
      <c r="Z375" t="s">
        <v>53</v>
      </c>
      <c r="AA375" t="s">
        <v>51</v>
      </c>
      <c r="AB375" t="s">
        <v>785</v>
      </c>
      <c r="AF375" t="s">
        <v>1437</v>
      </c>
      <c r="AG375" t="s">
        <v>58</v>
      </c>
      <c r="BX375" t="s">
        <v>1744</v>
      </c>
      <c r="BY375">
        <v>8</v>
      </c>
      <c r="BZ375" t="s">
        <v>1752</v>
      </c>
      <c r="CA375" t="s">
        <v>1753</v>
      </c>
    </row>
    <row r="376" spans="1:104" hidden="1">
      <c r="A376" s="32" t="s">
        <v>835</v>
      </c>
      <c r="B376" s="32" t="s">
        <v>83</v>
      </c>
      <c r="C376" s="23">
        <v>101</v>
      </c>
      <c r="D376" s="23">
        <v>24652800</v>
      </c>
      <c r="E376" s="23">
        <v>5</v>
      </c>
      <c r="F376" s="23"/>
      <c r="G376" s="23" t="s">
        <v>52</v>
      </c>
      <c r="H376" s="23" t="s">
        <v>836</v>
      </c>
      <c r="I376" s="23"/>
      <c r="J376" s="23"/>
      <c r="K376" s="23" t="s">
        <v>837</v>
      </c>
      <c r="L376" s="23" t="s">
        <v>831</v>
      </c>
      <c r="M376" s="23"/>
      <c r="N376" s="23"/>
      <c r="O376" s="23"/>
      <c r="P376" s="23"/>
      <c r="Q376" s="23"/>
      <c r="R376" s="23"/>
      <c r="S376" s="23" t="s">
        <v>64</v>
      </c>
      <c r="T376" s="23"/>
      <c r="U376" s="23" t="s">
        <v>17</v>
      </c>
      <c r="V376" s="23"/>
      <c r="W376" s="33">
        <v>2.5000000000000001E-2</v>
      </c>
      <c r="Y376" t="s">
        <v>124</v>
      </c>
      <c r="Z376" t="s">
        <v>53</v>
      </c>
      <c r="AA376" t="s">
        <v>51</v>
      </c>
      <c r="AB376" t="s">
        <v>785</v>
      </c>
      <c r="AF376" t="s">
        <v>1437</v>
      </c>
      <c r="AG376" t="s">
        <v>58</v>
      </c>
      <c r="BX376" t="s">
        <v>1713</v>
      </c>
      <c r="BY376" t="s">
        <v>836</v>
      </c>
      <c r="BZ376" t="s">
        <v>1714</v>
      </c>
      <c r="CA376" s="76">
        <v>46242</v>
      </c>
      <c r="CB376" t="s">
        <v>1740</v>
      </c>
    </row>
    <row r="377" spans="1:104" hidden="1">
      <c r="A377" s="32" t="s">
        <v>838</v>
      </c>
      <c r="B377" s="32" t="s">
        <v>83</v>
      </c>
      <c r="C377" s="23">
        <v>102</v>
      </c>
      <c r="D377" s="23">
        <v>24398500</v>
      </c>
      <c r="E377" s="23">
        <v>5</v>
      </c>
      <c r="F377" s="23"/>
      <c r="G377" s="23" t="s">
        <v>52</v>
      </c>
      <c r="H377" s="23" t="s">
        <v>229</v>
      </c>
      <c r="I377" s="23"/>
      <c r="J377" s="23"/>
      <c r="K377" s="23" t="s">
        <v>230</v>
      </c>
      <c r="L377" s="23" t="s">
        <v>831</v>
      </c>
      <c r="M377" s="23"/>
      <c r="N377" s="23"/>
      <c r="O377" s="23"/>
      <c r="P377" s="23"/>
      <c r="Q377" s="23"/>
      <c r="R377" s="23"/>
      <c r="S377" s="23" t="s">
        <v>64</v>
      </c>
      <c r="T377" s="23"/>
      <c r="U377" s="23" t="s">
        <v>17</v>
      </c>
      <c r="V377" s="23"/>
      <c r="W377" s="33">
        <v>7.0000000000000001E-3</v>
      </c>
      <c r="Y377" t="s">
        <v>124</v>
      </c>
      <c r="Z377" t="s">
        <v>53</v>
      </c>
      <c r="AA377" t="s">
        <v>51</v>
      </c>
      <c r="AB377" t="s">
        <v>785</v>
      </c>
      <c r="AF377" t="s">
        <v>1437</v>
      </c>
      <c r="AG377" t="s">
        <v>58</v>
      </c>
      <c r="BX377" t="s">
        <v>1717</v>
      </c>
      <c r="BY377" t="s">
        <v>229</v>
      </c>
      <c r="BZ377" t="s">
        <v>1718</v>
      </c>
      <c r="CA377">
        <v>8</v>
      </c>
      <c r="CB377" t="s">
        <v>1740</v>
      </c>
    </row>
    <row r="378" spans="1:104" hidden="1">
      <c r="A378" s="32" t="s">
        <v>839</v>
      </c>
      <c r="B378" s="32" t="s">
        <v>83</v>
      </c>
      <c r="C378" s="23">
        <v>103</v>
      </c>
      <c r="D378" s="23">
        <v>24389600</v>
      </c>
      <c r="E378" s="23">
        <v>10</v>
      </c>
      <c r="F378" s="23"/>
      <c r="G378" s="23" t="s">
        <v>52</v>
      </c>
      <c r="H378" s="23">
        <v>10.5</v>
      </c>
      <c r="I378" s="23"/>
      <c r="J378" s="23"/>
      <c r="K378" s="23" t="s">
        <v>232</v>
      </c>
      <c r="L378" s="23" t="s">
        <v>831</v>
      </c>
      <c r="M378" s="23"/>
      <c r="N378" s="23"/>
      <c r="O378" s="23"/>
      <c r="P378" s="23"/>
      <c r="Q378" s="23"/>
      <c r="R378" s="23"/>
      <c r="S378" s="23" t="s">
        <v>64</v>
      </c>
      <c r="T378" s="23"/>
      <c r="U378" s="23" t="s">
        <v>17</v>
      </c>
      <c r="V378" s="23"/>
      <c r="W378" s="33">
        <v>4.0000000000000001E-3</v>
      </c>
      <c r="Y378" t="s">
        <v>124</v>
      </c>
      <c r="Z378" t="s">
        <v>53</v>
      </c>
      <c r="AA378" t="s">
        <v>51</v>
      </c>
      <c r="AB378" t="s">
        <v>785</v>
      </c>
      <c r="AF378" t="s">
        <v>1437</v>
      </c>
      <c r="AG378" t="s">
        <v>58</v>
      </c>
      <c r="BX378" t="s">
        <v>1719</v>
      </c>
      <c r="BY378">
        <v>10.5</v>
      </c>
      <c r="BZ378" t="s">
        <v>763</v>
      </c>
      <c r="CA378" t="s">
        <v>1720</v>
      </c>
      <c r="CB378" t="s">
        <v>1721</v>
      </c>
    </row>
    <row r="379" spans="1:104" hidden="1">
      <c r="A379" s="29" t="s">
        <v>840</v>
      </c>
      <c r="B379" s="29" t="s">
        <v>79</v>
      </c>
      <c r="C379" s="30">
        <v>8</v>
      </c>
      <c r="D379" s="30" t="s">
        <v>841</v>
      </c>
      <c r="E379" s="30">
        <v>1</v>
      </c>
      <c r="F379" s="30"/>
      <c r="G379" s="30" t="s">
        <v>52</v>
      </c>
      <c r="H379" s="30"/>
      <c r="I379" s="30"/>
      <c r="J379" s="30"/>
      <c r="K379" s="30" t="s">
        <v>842</v>
      </c>
      <c r="L379" s="30" t="s">
        <v>841</v>
      </c>
      <c r="M379" s="30">
        <v>2</v>
      </c>
      <c r="N379" s="30"/>
      <c r="O379" s="23"/>
      <c r="P379" s="23"/>
      <c r="Q379" s="23"/>
      <c r="R379" s="23"/>
      <c r="S379" s="23"/>
      <c r="T379" s="23"/>
      <c r="U379" s="23" t="s">
        <v>54</v>
      </c>
      <c r="V379" s="23"/>
      <c r="W379" s="31">
        <v>14.885</v>
      </c>
      <c r="Y379" t="s">
        <v>40</v>
      </c>
      <c r="Z379" t="s">
        <v>53</v>
      </c>
      <c r="AA379" t="s">
        <v>51</v>
      </c>
      <c r="AB379" t="s">
        <v>785</v>
      </c>
      <c r="AF379" t="s">
        <v>1437</v>
      </c>
      <c r="AG379" t="s">
        <v>58</v>
      </c>
      <c r="BX379" t="s">
        <v>842</v>
      </c>
    </row>
    <row r="380" spans="1:104">
      <c r="A380" s="32" t="s">
        <v>843</v>
      </c>
      <c r="B380" s="32" t="s">
        <v>83</v>
      </c>
      <c r="C380" s="23">
        <v>1</v>
      </c>
      <c r="D380" s="23">
        <v>3029300</v>
      </c>
      <c r="E380" s="23">
        <v>1</v>
      </c>
      <c r="F380" s="23">
        <v>1.1339999999999999</v>
      </c>
      <c r="G380" s="23" t="s">
        <v>89</v>
      </c>
      <c r="H380" s="23" t="s">
        <v>844</v>
      </c>
      <c r="I380" s="23" t="s">
        <v>85</v>
      </c>
      <c r="J380" s="23">
        <v>513</v>
      </c>
      <c r="K380" s="23" t="s">
        <v>591</v>
      </c>
      <c r="L380" s="23" t="s">
        <v>841</v>
      </c>
      <c r="M380" s="23"/>
      <c r="N380" s="23"/>
      <c r="O380" s="23"/>
      <c r="P380" s="23"/>
      <c r="Q380" s="23"/>
      <c r="R380" s="23"/>
      <c r="S380" s="23" t="s">
        <v>64</v>
      </c>
      <c r="T380" s="23"/>
      <c r="U380" s="23" t="s">
        <v>87</v>
      </c>
      <c r="V380" s="23"/>
      <c r="W380" s="33">
        <v>0</v>
      </c>
      <c r="Y380" t="s">
        <v>161</v>
      </c>
      <c r="Z380" t="s">
        <v>53</v>
      </c>
      <c r="AA380" t="s">
        <v>51</v>
      </c>
      <c r="AB380" t="s">
        <v>785</v>
      </c>
      <c r="AF380" t="s">
        <v>1437</v>
      </c>
      <c r="AG380" t="s">
        <v>58</v>
      </c>
      <c r="AI380" t="str">
        <f t="shared" ref="AI380:AI381" si="52">BY380&amp;"_"&amp;CB380&amp;"_"&amp;L380&amp;"_p"&amp;C380&amp;"_"&amp;E380&amp;"st_"&amp;AK380&amp;"_"&amp;RIGHT(AG380,4)&amp;"_"&amp;AL380</f>
        <v>2_oc_SL41051332_p1_1st_G_2050_</v>
      </c>
      <c r="AK380" t="str">
        <f t="shared" ref="AK380" si="53">CT380</f>
        <v>G</v>
      </c>
      <c r="AM380" t="s">
        <v>1674</v>
      </c>
      <c r="AZ380" s="64" t="s">
        <v>1588</v>
      </c>
      <c r="BX380" t="s">
        <v>1691</v>
      </c>
      <c r="BY380">
        <v>2</v>
      </c>
      <c r="BZ380" t="s">
        <v>1742</v>
      </c>
      <c r="CA380" t="s">
        <v>1743</v>
      </c>
      <c r="CB380" t="s">
        <v>1897</v>
      </c>
      <c r="CR380" t="s">
        <v>2021</v>
      </c>
      <c r="CT380" t="s">
        <v>1900</v>
      </c>
      <c r="CW380" t="b">
        <f t="shared" ref="CW380:CW381" si="54">AI380=CR380</f>
        <v>1</v>
      </c>
      <c r="CX380" t="b">
        <f t="shared" ref="CX380:CX381" si="55">AJ380=CS380</f>
        <v>1</v>
      </c>
      <c r="CY380" t="b">
        <f t="shared" ref="CY380:CY381" si="56">AK380=CT380</f>
        <v>1</v>
      </c>
      <c r="CZ380" t="b">
        <f t="shared" ref="CZ380:CZ381" si="57">AL380=CU380</f>
        <v>1</v>
      </c>
    </row>
    <row r="381" spans="1:104">
      <c r="A381" s="32" t="s">
        <v>845</v>
      </c>
      <c r="B381" s="32" t="s">
        <v>83</v>
      </c>
      <c r="C381" s="23">
        <v>2</v>
      </c>
      <c r="D381" s="23">
        <v>1099000</v>
      </c>
      <c r="E381" s="23">
        <v>1</v>
      </c>
      <c r="F381" s="23">
        <v>6.7000000000000004E-2</v>
      </c>
      <c r="G381" s="23" t="s">
        <v>89</v>
      </c>
      <c r="H381" s="23">
        <v>420</v>
      </c>
      <c r="I381" s="23" t="s">
        <v>85</v>
      </c>
      <c r="J381" s="23">
        <v>160</v>
      </c>
      <c r="K381" s="23" t="s">
        <v>846</v>
      </c>
      <c r="L381" s="23" t="s">
        <v>841</v>
      </c>
      <c r="M381" s="23"/>
      <c r="N381" s="23"/>
      <c r="O381" s="23"/>
      <c r="P381" s="23"/>
      <c r="Q381" s="23"/>
      <c r="R381" s="23"/>
      <c r="S381" s="23" t="s">
        <v>64</v>
      </c>
      <c r="T381" s="23"/>
      <c r="U381" s="23" t="s">
        <v>87</v>
      </c>
      <c r="V381" s="23"/>
      <c r="W381" s="33">
        <v>0</v>
      </c>
      <c r="Y381" t="s">
        <v>161</v>
      </c>
      <c r="Z381" t="s">
        <v>53</v>
      </c>
      <c r="AA381" t="s">
        <v>51</v>
      </c>
      <c r="AB381" t="s">
        <v>785</v>
      </c>
      <c r="AF381" t="s">
        <v>1437</v>
      </c>
      <c r="AG381" t="s">
        <v>58</v>
      </c>
      <c r="AI381" t="str">
        <f t="shared" si="52"/>
        <v>1,5_DC01_SL41051332_p2_1st__2050_</v>
      </c>
      <c r="AM381" t="s">
        <v>1674</v>
      </c>
      <c r="AZ381" s="64" t="s">
        <v>1589</v>
      </c>
      <c r="BX381" t="s">
        <v>1691</v>
      </c>
      <c r="BY381">
        <v>1.5</v>
      </c>
      <c r="BZ381" t="s">
        <v>1767</v>
      </c>
      <c r="CA381" t="s">
        <v>1768</v>
      </c>
      <c r="CB381" t="s">
        <v>1894</v>
      </c>
      <c r="CR381" t="s">
        <v>2022</v>
      </c>
      <c r="CW381" t="b">
        <f t="shared" si="54"/>
        <v>1</v>
      </c>
      <c r="CX381" t="b">
        <f t="shared" si="55"/>
        <v>1</v>
      </c>
      <c r="CY381" t="b">
        <f t="shared" si="56"/>
        <v>1</v>
      </c>
      <c r="CZ381" t="b">
        <f t="shared" si="57"/>
        <v>1</v>
      </c>
    </row>
    <row r="382" spans="1:104" hidden="1">
      <c r="A382" s="32" t="s">
        <v>847</v>
      </c>
      <c r="B382" s="32" t="s">
        <v>83</v>
      </c>
      <c r="C382" s="23">
        <v>101</v>
      </c>
      <c r="D382" s="23">
        <v>2166700</v>
      </c>
      <c r="E382" s="23">
        <v>4</v>
      </c>
      <c r="F382" s="23"/>
      <c r="G382" s="23" t="s">
        <v>52</v>
      </c>
      <c r="H382" s="23"/>
      <c r="I382" s="23"/>
      <c r="J382" s="23"/>
      <c r="K382" s="23" t="s">
        <v>848</v>
      </c>
      <c r="L382" s="23" t="s">
        <v>841</v>
      </c>
      <c r="M382" s="23"/>
      <c r="N382" s="23"/>
      <c r="O382" s="23"/>
      <c r="P382" s="23"/>
      <c r="Q382" s="23"/>
      <c r="R382" s="23"/>
      <c r="S382" s="23" t="s">
        <v>64</v>
      </c>
      <c r="T382" s="23"/>
      <c r="U382" s="23" t="s">
        <v>17</v>
      </c>
      <c r="V382" s="23"/>
      <c r="W382" s="33">
        <v>3.0000000000000001E-3</v>
      </c>
      <c r="Y382" t="s">
        <v>124</v>
      </c>
      <c r="Z382" t="s">
        <v>53</v>
      </c>
      <c r="AA382" t="s">
        <v>51</v>
      </c>
      <c r="AB382" t="s">
        <v>785</v>
      </c>
      <c r="AF382" t="s">
        <v>1437</v>
      </c>
      <c r="AG382" t="s">
        <v>58</v>
      </c>
      <c r="BX382" t="s">
        <v>1811</v>
      </c>
      <c r="BY382" t="s">
        <v>1812</v>
      </c>
      <c r="CB382" t="s">
        <v>763</v>
      </c>
      <c r="CC382" t="s">
        <v>1813</v>
      </c>
      <c r="CD382" t="s">
        <v>1814</v>
      </c>
    </row>
    <row r="383" spans="1:104" hidden="1">
      <c r="A383" s="29" t="s">
        <v>849</v>
      </c>
      <c r="B383" s="29" t="s">
        <v>79</v>
      </c>
      <c r="C383" s="30">
        <v>9</v>
      </c>
      <c r="D383" s="30" t="s">
        <v>850</v>
      </c>
      <c r="E383" s="30">
        <v>1</v>
      </c>
      <c r="F383" s="30"/>
      <c r="G383" s="30" t="s">
        <v>52</v>
      </c>
      <c r="H383" s="30"/>
      <c r="I383" s="30"/>
      <c r="J383" s="30"/>
      <c r="K383" s="30" t="s">
        <v>842</v>
      </c>
      <c r="L383" s="30" t="s">
        <v>850</v>
      </c>
      <c r="M383" s="30">
        <v>2</v>
      </c>
      <c r="N383" s="30"/>
      <c r="O383" s="23"/>
      <c r="P383" s="23"/>
      <c r="Q383" s="23"/>
      <c r="R383" s="23"/>
      <c r="S383" s="23"/>
      <c r="T383" s="23"/>
      <c r="U383" s="23" t="s">
        <v>54</v>
      </c>
      <c r="V383" s="23"/>
      <c r="W383" s="31">
        <v>14.885</v>
      </c>
      <c r="Y383" t="s">
        <v>40</v>
      </c>
      <c r="Z383" t="s">
        <v>53</v>
      </c>
      <c r="AA383" t="s">
        <v>51</v>
      </c>
      <c r="AB383" t="s">
        <v>785</v>
      </c>
      <c r="AF383" t="s">
        <v>1437</v>
      </c>
      <c r="AG383" t="s">
        <v>58</v>
      </c>
      <c r="BX383" t="s">
        <v>842</v>
      </c>
    </row>
    <row r="384" spans="1:104">
      <c r="A384" s="32" t="s">
        <v>851</v>
      </c>
      <c r="B384" s="32" t="s">
        <v>83</v>
      </c>
      <c r="C384" s="23">
        <v>1</v>
      </c>
      <c r="D384" s="23">
        <v>3029300</v>
      </c>
      <c r="E384" s="23">
        <v>1</v>
      </c>
      <c r="F384" s="23">
        <v>1.1339999999999999</v>
      </c>
      <c r="G384" s="23" t="s">
        <v>89</v>
      </c>
      <c r="H384" s="23" t="s">
        <v>844</v>
      </c>
      <c r="I384" s="23" t="s">
        <v>85</v>
      </c>
      <c r="J384" s="23">
        <v>513</v>
      </c>
      <c r="K384" s="23" t="s">
        <v>591</v>
      </c>
      <c r="L384" s="23" t="s">
        <v>850</v>
      </c>
      <c r="M384" s="23"/>
      <c r="N384" s="23"/>
      <c r="O384" s="23"/>
      <c r="P384" s="23"/>
      <c r="Q384" s="23"/>
      <c r="R384" s="23"/>
      <c r="S384" s="23" t="s">
        <v>64</v>
      </c>
      <c r="T384" s="23"/>
      <c r="U384" s="23" t="s">
        <v>87</v>
      </c>
      <c r="V384" s="23"/>
      <c r="W384" s="33">
        <v>0</v>
      </c>
      <c r="Y384" t="s">
        <v>161</v>
      </c>
      <c r="Z384" t="s">
        <v>53</v>
      </c>
      <c r="AA384" t="s">
        <v>51</v>
      </c>
      <c r="AB384" t="s">
        <v>785</v>
      </c>
      <c r="AF384" t="s">
        <v>1437</v>
      </c>
      <c r="AG384" t="s">
        <v>58</v>
      </c>
      <c r="AI384" t="str">
        <f t="shared" ref="AI384:AI385" si="58">BY384&amp;"_"&amp;CB384&amp;"_"&amp;L384&amp;"_p"&amp;C384&amp;"_"&amp;E384&amp;"st_"&amp;AK384&amp;"_"&amp;RIGHT(AG384,4)&amp;"_"&amp;AL384</f>
        <v>2_oc_SL41051331_p1_1st_G_2050_</v>
      </c>
      <c r="AK384" t="str">
        <f t="shared" ref="AK384" si="59">CT384</f>
        <v>G</v>
      </c>
      <c r="AM384" t="s">
        <v>1674</v>
      </c>
      <c r="AZ384" s="64" t="s">
        <v>1590</v>
      </c>
      <c r="BX384" t="s">
        <v>1691</v>
      </c>
      <c r="BY384">
        <v>2</v>
      </c>
      <c r="BZ384" t="s">
        <v>1742</v>
      </c>
      <c r="CA384" t="s">
        <v>1743</v>
      </c>
      <c r="CB384" t="s">
        <v>1897</v>
      </c>
      <c r="CR384" t="s">
        <v>2023</v>
      </c>
      <c r="CT384" t="s">
        <v>1900</v>
      </c>
      <c r="CW384" t="b">
        <f t="shared" ref="CW384:CW385" si="60">AI384=CR384</f>
        <v>1</v>
      </c>
      <c r="CX384" t="b">
        <f t="shared" ref="CX384:CX385" si="61">AJ384=CS384</f>
        <v>1</v>
      </c>
      <c r="CY384" t="b">
        <f t="shared" ref="CY384:CY385" si="62">AK384=CT384</f>
        <v>1</v>
      </c>
      <c r="CZ384" t="b">
        <f t="shared" ref="CZ384:CZ385" si="63">AL384=CU384</f>
        <v>1</v>
      </c>
    </row>
    <row r="385" spans="1:104">
      <c r="A385" s="32" t="s">
        <v>852</v>
      </c>
      <c r="B385" s="32" t="s">
        <v>83</v>
      </c>
      <c r="C385" s="23">
        <v>2</v>
      </c>
      <c r="D385" s="23">
        <v>1099000</v>
      </c>
      <c r="E385" s="23">
        <v>1</v>
      </c>
      <c r="F385" s="23">
        <v>6.7000000000000004E-2</v>
      </c>
      <c r="G385" s="23" t="s">
        <v>89</v>
      </c>
      <c r="H385" s="23">
        <v>420</v>
      </c>
      <c r="I385" s="23" t="s">
        <v>85</v>
      </c>
      <c r="J385" s="23">
        <v>160</v>
      </c>
      <c r="K385" s="23" t="s">
        <v>846</v>
      </c>
      <c r="L385" s="23" t="s">
        <v>850</v>
      </c>
      <c r="M385" s="23"/>
      <c r="N385" s="23"/>
      <c r="O385" s="23"/>
      <c r="P385" s="23"/>
      <c r="Q385" s="23"/>
      <c r="R385" s="23"/>
      <c r="S385" s="23" t="s">
        <v>64</v>
      </c>
      <c r="T385" s="23"/>
      <c r="U385" s="23" t="s">
        <v>87</v>
      </c>
      <c r="V385" s="23"/>
      <c r="W385" s="33">
        <v>0</v>
      </c>
      <c r="Y385" t="s">
        <v>161</v>
      </c>
      <c r="Z385" t="s">
        <v>53</v>
      </c>
      <c r="AA385" t="s">
        <v>51</v>
      </c>
      <c r="AB385" t="s">
        <v>785</v>
      </c>
      <c r="AF385" t="s">
        <v>1437</v>
      </c>
      <c r="AG385" t="s">
        <v>58</v>
      </c>
      <c r="AI385" t="str">
        <f t="shared" si="58"/>
        <v>1,5_DC01_SL41051331_p2_1st__2050_</v>
      </c>
      <c r="AM385" t="s">
        <v>1674</v>
      </c>
      <c r="AZ385" s="64" t="s">
        <v>1591</v>
      </c>
      <c r="BX385" t="s">
        <v>1691</v>
      </c>
      <c r="BY385">
        <v>1.5</v>
      </c>
      <c r="BZ385" t="s">
        <v>1767</v>
      </c>
      <c r="CA385" t="s">
        <v>1768</v>
      </c>
      <c r="CB385" t="s">
        <v>1894</v>
      </c>
      <c r="CR385" t="s">
        <v>2024</v>
      </c>
      <c r="CW385" t="b">
        <f t="shared" si="60"/>
        <v>1</v>
      </c>
      <c r="CX385" t="b">
        <f t="shared" si="61"/>
        <v>1</v>
      </c>
      <c r="CY385" t="b">
        <f t="shared" si="62"/>
        <v>1</v>
      </c>
      <c r="CZ385" t="b">
        <f t="shared" si="63"/>
        <v>1</v>
      </c>
    </row>
    <row r="386" spans="1:104" hidden="1">
      <c r="A386" s="32" t="s">
        <v>853</v>
      </c>
      <c r="B386" s="32" t="s">
        <v>83</v>
      </c>
      <c r="C386" s="23">
        <v>101</v>
      </c>
      <c r="D386" s="23">
        <v>2166700</v>
      </c>
      <c r="E386" s="23">
        <v>4</v>
      </c>
      <c r="F386" s="23"/>
      <c r="G386" s="23" t="s">
        <v>52</v>
      </c>
      <c r="H386" s="23"/>
      <c r="I386" s="23"/>
      <c r="J386" s="23"/>
      <c r="K386" s="23" t="s">
        <v>848</v>
      </c>
      <c r="L386" s="23" t="s">
        <v>850</v>
      </c>
      <c r="M386" s="23"/>
      <c r="N386" s="23"/>
      <c r="O386" s="23"/>
      <c r="P386" s="23"/>
      <c r="Q386" s="23"/>
      <c r="R386" s="23"/>
      <c r="S386" s="23" t="s">
        <v>64</v>
      </c>
      <c r="T386" s="23"/>
      <c r="U386" s="23" t="s">
        <v>17</v>
      </c>
      <c r="V386" s="23"/>
      <c r="W386" s="33">
        <v>3.0000000000000001E-3</v>
      </c>
      <c r="Y386" t="s">
        <v>124</v>
      </c>
      <c r="Z386" t="s">
        <v>53</v>
      </c>
      <c r="AA386" t="s">
        <v>51</v>
      </c>
      <c r="AB386" t="s">
        <v>785</v>
      </c>
      <c r="AF386" t="s">
        <v>1437</v>
      </c>
      <c r="AG386" t="s">
        <v>58</v>
      </c>
      <c r="BX386" t="s">
        <v>1811</v>
      </c>
      <c r="BY386" t="s">
        <v>1812</v>
      </c>
      <c r="CB386" t="s">
        <v>763</v>
      </c>
      <c r="CC386" t="s">
        <v>1813</v>
      </c>
      <c r="CD386" t="s">
        <v>1814</v>
      </c>
    </row>
    <row r="387" spans="1:104" hidden="1">
      <c r="A387" s="32" t="s">
        <v>854</v>
      </c>
      <c r="B387" s="32" t="s">
        <v>79</v>
      </c>
      <c r="C387" s="23">
        <v>101</v>
      </c>
      <c r="D387" s="23">
        <v>24651200</v>
      </c>
      <c r="E387" s="23">
        <v>10</v>
      </c>
      <c r="F387" s="23"/>
      <c r="G387" s="23" t="s">
        <v>52</v>
      </c>
      <c r="H387" s="23" t="s">
        <v>656</v>
      </c>
      <c r="I387" s="23"/>
      <c r="J387" s="23"/>
      <c r="K387" s="23" t="s">
        <v>657</v>
      </c>
      <c r="L387" s="23" t="s">
        <v>850</v>
      </c>
      <c r="M387" s="23"/>
      <c r="N387" s="23"/>
      <c r="O387" s="23"/>
      <c r="P387" s="23"/>
      <c r="Q387" s="23"/>
      <c r="R387" s="23"/>
      <c r="S387" s="23" t="s">
        <v>64</v>
      </c>
      <c r="T387" s="23"/>
      <c r="U387" s="23" t="s">
        <v>17</v>
      </c>
      <c r="V387" s="23"/>
      <c r="W387" s="33">
        <v>2.5000000000000001E-2</v>
      </c>
      <c r="Y387" t="s">
        <v>124</v>
      </c>
      <c r="Z387" t="s">
        <v>53</v>
      </c>
      <c r="AA387" t="s">
        <v>51</v>
      </c>
      <c r="AB387" t="s">
        <v>785</v>
      </c>
      <c r="AF387" t="s">
        <v>1437</v>
      </c>
      <c r="AG387" t="s">
        <v>58</v>
      </c>
      <c r="BX387" t="s">
        <v>1713</v>
      </c>
      <c r="BY387" t="s">
        <v>656</v>
      </c>
      <c r="BZ387" t="s">
        <v>1714</v>
      </c>
      <c r="CA387" s="76">
        <v>46242</v>
      </c>
      <c r="CB387" t="s">
        <v>1740</v>
      </c>
    </row>
    <row r="388" spans="1:104" hidden="1">
      <c r="A388" s="32" t="s">
        <v>855</v>
      </c>
      <c r="B388" s="32" t="s">
        <v>79</v>
      </c>
      <c r="C388" s="23">
        <v>102</v>
      </c>
      <c r="D388" s="23">
        <v>24398500</v>
      </c>
      <c r="E388" s="23">
        <v>6</v>
      </c>
      <c r="F388" s="23"/>
      <c r="G388" s="23" t="s">
        <v>52</v>
      </c>
      <c r="H388" s="23" t="s">
        <v>229</v>
      </c>
      <c r="I388" s="23"/>
      <c r="J388" s="23"/>
      <c r="K388" s="23" t="s">
        <v>230</v>
      </c>
      <c r="L388" s="23" t="s">
        <v>850</v>
      </c>
      <c r="M388" s="23"/>
      <c r="N388" s="23"/>
      <c r="O388" s="23"/>
      <c r="P388" s="23"/>
      <c r="Q388" s="23"/>
      <c r="R388" s="23"/>
      <c r="S388" s="23" t="s">
        <v>64</v>
      </c>
      <c r="T388" s="23"/>
      <c r="U388" s="23" t="s">
        <v>17</v>
      </c>
      <c r="V388" s="23"/>
      <c r="W388" s="33">
        <v>7.0000000000000001E-3</v>
      </c>
      <c r="Y388" t="s">
        <v>124</v>
      </c>
      <c r="Z388" t="s">
        <v>53</v>
      </c>
      <c r="AA388" t="s">
        <v>51</v>
      </c>
      <c r="AB388" t="s">
        <v>785</v>
      </c>
      <c r="AF388" t="s">
        <v>1437</v>
      </c>
      <c r="AG388" t="s">
        <v>58</v>
      </c>
      <c r="BX388" t="s">
        <v>1717</v>
      </c>
      <c r="BY388" t="s">
        <v>229</v>
      </c>
      <c r="BZ388" t="s">
        <v>1718</v>
      </c>
      <c r="CA388">
        <v>8</v>
      </c>
      <c r="CB388" t="s">
        <v>1740</v>
      </c>
    </row>
    <row r="389" spans="1:104" hidden="1">
      <c r="A389" s="32" t="s">
        <v>856</v>
      </c>
      <c r="B389" s="32" t="s">
        <v>79</v>
      </c>
      <c r="C389" s="23">
        <v>103</v>
      </c>
      <c r="D389" s="23">
        <v>24389600</v>
      </c>
      <c r="E389" s="23">
        <v>16</v>
      </c>
      <c r="F389" s="23"/>
      <c r="G389" s="23" t="s">
        <v>52</v>
      </c>
      <c r="H389" s="23">
        <v>10.5</v>
      </c>
      <c r="I389" s="23"/>
      <c r="J389" s="23"/>
      <c r="K389" s="23" t="s">
        <v>232</v>
      </c>
      <c r="L389" s="23" t="s">
        <v>850</v>
      </c>
      <c r="M389" s="23"/>
      <c r="N389" s="23"/>
      <c r="O389" s="23"/>
      <c r="P389" s="23"/>
      <c r="Q389" s="23"/>
      <c r="R389" s="23"/>
      <c r="S389" s="23" t="s">
        <v>64</v>
      </c>
      <c r="T389" s="23"/>
      <c r="U389" s="23" t="s">
        <v>17</v>
      </c>
      <c r="V389" s="23"/>
      <c r="W389" s="33">
        <v>4.0000000000000001E-3</v>
      </c>
      <c r="Y389" t="s">
        <v>124</v>
      </c>
      <c r="Z389" t="s">
        <v>53</v>
      </c>
      <c r="AA389" t="s">
        <v>51</v>
      </c>
      <c r="AB389" t="s">
        <v>785</v>
      </c>
      <c r="AF389" t="s">
        <v>1437</v>
      </c>
      <c r="AG389" t="s">
        <v>58</v>
      </c>
      <c r="BX389" t="s">
        <v>1719</v>
      </c>
      <c r="BY389">
        <v>10.5</v>
      </c>
      <c r="BZ389" t="s">
        <v>763</v>
      </c>
      <c r="CA389" t="s">
        <v>1720</v>
      </c>
      <c r="CB389" t="s">
        <v>1721</v>
      </c>
    </row>
    <row r="390" spans="1:104" hidden="1">
      <c r="A390" s="32" t="s">
        <v>857</v>
      </c>
      <c r="B390" s="32" t="s">
        <v>79</v>
      </c>
      <c r="C390" s="23">
        <v>104</v>
      </c>
      <c r="D390" s="23">
        <v>25359500</v>
      </c>
      <c r="E390" s="23">
        <v>16</v>
      </c>
      <c r="F390" s="23"/>
      <c r="G390" s="23" t="s">
        <v>52</v>
      </c>
      <c r="H390" s="23" t="s">
        <v>283</v>
      </c>
      <c r="I390" s="23"/>
      <c r="J390" s="23"/>
      <c r="K390" s="23" t="s">
        <v>284</v>
      </c>
      <c r="L390" s="23" t="s">
        <v>850</v>
      </c>
      <c r="M390" s="23"/>
      <c r="N390" s="23"/>
      <c r="O390" s="23"/>
      <c r="P390" s="23"/>
      <c r="Q390" s="23"/>
      <c r="R390" s="23"/>
      <c r="S390" s="23" t="s">
        <v>64</v>
      </c>
      <c r="T390" s="23"/>
      <c r="U390" s="23" t="s">
        <v>17</v>
      </c>
      <c r="V390" s="23"/>
      <c r="W390" s="33">
        <v>4.8000000000000001E-2</v>
      </c>
      <c r="Y390" t="s">
        <v>124</v>
      </c>
      <c r="Z390" t="s">
        <v>53</v>
      </c>
      <c r="AA390" t="s">
        <v>51</v>
      </c>
      <c r="AB390" t="s">
        <v>785</v>
      </c>
      <c r="AF390" t="s">
        <v>1437</v>
      </c>
      <c r="AG390" t="s">
        <v>58</v>
      </c>
      <c r="BX390" t="s">
        <v>1713</v>
      </c>
      <c r="BY390" t="s">
        <v>283</v>
      </c>
      <c r="BZ390" t="s">
        <v>1714</v>
      </c>
      <c r="CA390" s="76">
        <v>46242</v>
      </c>
      <c r="CB390" t="s">
        <v>1715</v>
      </c>
      <c r="CC390" t="s">
        <v>1716</v>
      </c>
    </row>
    <row r="391" spans="1:104" hidden="1">
      <c r="A391" s="32" t="s">
        <v>858</v>
      </c>
      <c r="B391" s="32" t="s">
        <v>79</v>
      </c>
      <c r="C391" s="23">
        <v>105</v>
      </c>
      <c r="D391" s="23">
        <v>24707900</v>
      </c>
      <c r="E391" s="23">
        <v>24</v>
      </c>
      <c r="F391" s="23"/>
      <c r="G391" s="23" t="s">
        <v>52</v>
      </c>
      <c r="H391" s="23" t="s">
        <v>275</v>
      </c>
      <c r="I391" s="23"/>
      <c r="J391" s="23"/>
      <c r="K391" s="23" t="s">
        <v>276</v>
      </c>
      <c r="L391" s="23" t="s">
        <v>850</v>
      </c>
      <c r="M391" s="23"/>
      <c r="N391" s="23"/>
      <c r="O391" s="23"/>
      <c r="P391" s="23"/>
      <c r="Q391" s="23"/>
      <c r="R391" s="23"/>
      <c r="S391" s="23" t="s">
        <v>64</v>
      </c>
      <c r="T391" s="23"/>
      <c r="U391" s="23" t="s">
        <v>17</v>
      </c>
      <c r="V391" s="23"/>
      <c r="W391" s="33">
        <v>1.7000000000000001E-2</v>
      </c>
      <c r="Y391" t="s">
        <v>124</v>
      </c>
      <c r="Z391" t="s">
        <v>53</v>
      </c>
      <c r="AA391" t="s">
        <v>51</v>
      </c>
      <c r="AB391" t="s">
        <v>785</v>
      </c>
      <c r="AF391" t="s">
        <v>1437</v>
      </c>
      <c r="AG391" t="s">
        <v>58</v>
      </c>
      <c r="BX391" t="s">
        <v>1717</v>
      </c>
      <c r="BY391" t="s">
        <v>275</v>
      </c>
      <c r="BZ391" t="s">
        <v>1718</v>
      </c>
      <c r="CA391">
        <v>8</v>
      </c>
      <c r="CB391" t="s">
        <v>1715</v>
      </c>
      <c r="CC391" t="s">
        <v>1716</v>
      </c>
    </row>
    <row r="392" spans="1:104" hidden="1">
      <c r="A392" s="32" t="s">
        <v>859</v>
      </c>
      <c r="B392" s="32" t="s">
        <v>79</v>
      </c>
      <c r="C392" s="23">
        <v>106</v>
      </c>
      <c r="D392" s="23">
        <v>24484200</v>
      </c>
      <c r="E392" s="23">
        <v>56</v>
      </c>
      <c r="F392" s="23"/>
      <c r="G392" s="23" t="s">
        <v>52</v>
      </c>
      <c r="H392" s="23">
        <v>13</v>
      </c>
      <c r="I392" s="23"/>
      <c r="J392" s="23"/>
      <c r="K392" s="23" t="s">
        <v>278</v>
      </c>
      <c r="L392" s="23" t="s">
        <v>850</v>
      </c>
      <c r="M392" s="23"/>
      <c r="N392" s="23"/>
      <c r="O392" s="23"/>
      <c r="P392" s="23"/>
      <c r="Q392" s="23"/>
      <c r="R392" s="23"/>
      <c r="S392" s="23" t="s">
        <v>64</v>
      </c>
      <c r="T392" s="23"/>
      <c r="U392" s="23" t="s">
        <v>17</v>
      </c>
      <c r="V392" s="23"/>
      <c r="W392" s="33">
        <v>0.01</v>
      </c>
      <c r="Y392" t="s">
        <v>124</v>
      </c>
      <c r="Z392" t="s">
        <v>53</v>
      </c>
      <c r="AA392" t="s">
        <v>51</v>
      </c>
      <c r="AB392" t="s">
        <v>785</v>
      </c>
      <c r="AF392" t="s">
        <v>1437</v>
      </c>
      <c r="AG392" t="s">
        <v>58</v>
      </c>
      <c r="BX392" t="s">
        <v>1719</v>
      </c>
      <c r="BY392">
        <v>13</v>
      </c>
      <c r="BZ392" t="s">
        <v>763</v>
      </c>
      <c r="CA392" t="s">
        <v>1720</v>
      </c>
      <c r="CB392" t="s">
        <v>1721</v>
      </c>
    </row>
    <row r="393" spans="1:104" hidden="1">
      <c r="A393" s="32" t="s">
        <v>860</v>
      </c>
      <c r="B393" s="32" t="s">
        <v>79</v>
      </c>
      <c r="C393" s="23">
        <v>107</v>
      </c>
      <c r="D393" s="23">
        <v>28801500</v>
      </c>
      <c r="E393" s="23">
        <v>8</v>
      </c>
      <c r="F393" s="23"/>
      <c r="G393" s="23" t="s">
        <v>52</v>
      </c>
      <c r="H393" s="23" t="s">
        <v>861</v>
      </c>
      <c r="I393" s="23"/>
      <c r="J393" s="23"/>
      <c r="K393" s="23" t="s">
        <v>862</v>
      </c>
      <c r="L393" s="23" t="s">
        <v>850</v>
      </c>
      <c r="M393" s="23"/>
      <c r="N393" s="23"/>
      <c r="O393" s="23"/>
      <c r="P393" s="23"/>
      <c r="Q393" s="23"/>
      <c r="R393" s="23"/>
      <c r="S393" s="23" t="s">
        <v>64</v>
      </c>
      <c r="T393" s="23"/>
      <c r="U393" s="23" t="s">
        <v>17</v>
      </c>
      <c r="V393" s="23"/>
      <c r="W393" s="33">
        <v>0.1</v>
      </c>
      <c r="Y393" t="s">
        <v>124</v>
      </c>
      <c r="Z393" t="s">
        <v>53</v>
      </c>
      <c r="AA393" t="s">
        <v>51</v>
      </c>
      <c r="AB393" t="s">
        <v>785</v>
      </c>
      <c r="AF393" t="s">
        <v>1437</v>
      </c>
      <c r="AG393" t="s">
        <v>58</v>
      </c>
      <c r="BX393" t="s">
        <v>1713</v>
      </c>
      <c r="BY393" t="s">
        <v>861</v>
      </c>
      <c r="BZ393" t="s">
        <v>1714</v>
      </c>
      <c r="CA393" s="76">
        <v>46242</v>
      </c>
      <c r="CB393" t="s">
        <v>1740</v>
      </c>
    </row>
    <row r="394" spans="1:104" hidden="1">
      <c r="A394" s="32" t="s">
        <v>863</v>
      </c>
      <c r="B394" s="32" t="s">
        <v>79</v>
      </c>
      <c r="C394" s="23">
        <v>108</v>
      </c>
      <c r="D394" s="23">
        <v>4208800</v>
      </c>
      <c r="E394" s="23">
        <v>8</v>
      </c>
      <c r="F394" s="23"/>
      <c r="G394" s="23" t="s">
        <v>52</v>
      </c>
      <c r="H394" s="23"/>
      <c r="I394" s="23"/>
      <c r="J394" s="23"/>
      <c r="K394" s="23" t="s">
        <v>864</v>
      </c>
      <c r="L394" s="23" t="s">
        <v>850</v>
      </c>
      <c r="M394" s="23"/>
      <c r="N394" s="23"/>
      <c r="O394" s="23"/>
      <c r="P394" s="23"/>
      <c r="Q394" s="23"/>
      <c r="R394" s="23"/>
      <c r="S394" s="23" t="s">
        <v>64</v>
      </c>
      <c r="T394" s="23"/>
      <c r="U394" s="23" t="s">
        <v>17</v>
      </c>
      <c r="V394" s="23"/>
      <c r="W394" s="33">
        <v>0.08</v>
      </c>
      <c r="Y394" t="s">
        <v>124</v>
      </c>
      <c r="Z394" t="s">
        <v>53</v>
      </c>
      <c r="AA394" t="s">
        <v>51</v>
      </c>
      <c r="AB394" t="s">
        <v>785</v>
      </c>
      <c r="AF394" t="s">
        <v>1437</v>
      </c>
      <c r="AG394" t="s">
        <v>58</v>
      </c>
      <c r="BX394" t="s">
        <v>1815</v>
      </c>
      <c r="BY394" t="s">
        <v>280</v>
      </c>
      <c r="BZ394" t="s">
        <v>1816</v>
      </c>
      <c r="CA394" t="s">
        <v>1709</v>
      </c>
    </row>
    <row r="395" spans="1:104" hidden="1">
      <c r="A395" s="32" t="s">
        <v>865</v>
      </c>
      <c r="B395" s="32" t="s">
        <v>79</v>
      </c>
      <c r="C395" s="23">
        <v>109</v>
      </c>
      <c r="D395" s="23">
        <v>2282100</v>
      </c>
      <c r="E395" s="23">
        <v>16</v>
      </c>
      <c r="F395" s="23"/>
      <c r="G395" s="23" t="s">
        <v>52</v>
      </c>
      <c r="H395" s="23" t="s">
        <v>275</v>
      </c>
      <c r="I395" s="23"/>
      <c r="J395" s="23"/>
      <c r="K395" s="23" t="s">
        <v>370</v>
      </c>
      <c r="L395" s="23" t="s">
        <v>850</v>
      </c>
      <c r="M395" s="23"/>
      <c r="N395" s="23"/>
      <c r="O395" s="23"/>
      <c r="P395" s="23"/>
      <c r="Q395" s="23"/>
      <c r="R395" s="23"/>
      <c r="S395" s="23" t="s">
        <v>64</v>
      </c>
      <c r="T395" s="23"/>
      <c r="U395" s="23" t="s">
        <v>17</v>
      </c>
      <c r="V395" s="23"/>
      <c r="W395" s="33">
        <v>0.06</v>
      </c>
      <c r="Y395" t="s">
        <v>124</v>
      </c>
      <c r="Z395" t="s">
        <v>53</v>
      </c>
      <c r="AA395" t="s">
        <v>51</v>
      </c>
      <c r="AB395" t="s">
        <v>785</v>
      </c>
      <c r="AF395" t="s">
        <v>1437</v>
      </c>
      <c r="AG395" t="s">
        <v>58</v>
      </c>
      <c r="BX395" t="s">
        <v>1717</v>
      </c>
      <c r="BY395" t="s">
        <v>275</v>
      </c>
      <c r="BZ395" t="s">
        <v>1762</v>
      </c>
      <c r="CA395">
        <v>4</v>
      </c>
      <c r="CB395" t="s">
        <v>1740</v>
      </c>
    </row>
    <row r="396" spans="1:104" hidden="1">
      <c r="A396" s="29" t="s">
        <v>866</v>
      </c>
      <c r="B396" s="29" t="s">
        <v>74</v>
      </c>
      <c r="C396" s="30">
        <v>2</v>
      </c>
      <c r="D396" s="30" t="s">
        <v>867</v>
      </c>
      <c r="E396" s="30">
        <v>11</v>
      </c>
      <c r="F396" s="30"/>
      <c r="G396" s="30" t="s">
        <v>52</v>
      </c>
      <c r="H396" s="30"/>
      <c r="I396" s="30"/>
      <c r="J396" s="30"/>
      <c r="K396" s="30" t="s">
        <v>868</v>
      </c>
      <c r="L396" s="30" t="s">
        <v>867</v>
      </c>
      <c r="M396" s="30">
        <v>1</v>
      </c>
      <c r="N396" s="30"/>
      <c r="O396" s="23"/>
      <c r="P396" s="23"/>
      <c r="Q396" s="23"/>
      <c r="R396" s="23"/>
      <c r="S396" s="23"/>
      <c r="T396" s="23"/>
      <c r="U396" s="23" t="s">
        <v>54</v>
      </c>
      <c r="V396" s="23"/>
      <c r="W396" s="31">
        <v>81.34</v>
      </c>
      <c r="Y396" t="s">
        <v>40</v>
      </c>
      <c r="Z396" t="s">
        <v>53</v>
      </c>
      <c r="AA396" t="s">
        <v>51</v>
      </c>
      <c r="AB396" t="s">
        <v>785</v>
      </c>
      <c r="AF396" t="s">
        <v>1437</v>
      </c>
      <c r="AG396" t="s">
        <v>58</v>
      </c>
      <c r="BX396" t="s">
        <v>868</v>
      </c>
    </row>
    <row r="397" spans="1:104" hidden="1">
      <c r="A397" s="29" t="s">
        <v>869</v>
      </c>
      <c r="B397" s="29" t="s">
        <v>79</v>
      </c>
      <c r="C397" s="30">
        <v>1</v>
      </c>
      <c r="D397" s="30" t="s">
        <v>870</v>
      </c>
      <c r="E397" s="30">
        <v>22</v>
      </c>
      <c r="F397" s="30"/>
      <c r="G397" s="30" t="s">
        <v>52</v>
      </c>
      <c r="H397" s="30"/>
      <c r="I397" s="30"/>
      <c r="J397" s="30"/>
      <c r="K397" s="30" t="s">
        <v>871</v>
      </c>
      <c r="L397" s="30" t="s">
        <v>870</v>
      </c>
      <c r="M397" s="30">
        <v>2</v>
      </c>
      <c r="N397" s="30"/>
      <c r="O397" s="23"/>
      <c r="P397" s="23"/>
      <c r="Q397" s="23"/>
      <c r="R397" s="23"/>
      <c r="S397" s="23" t="s">
        <v>64</v>
      </c>
      <c r="T397" s="23"/>
      <c r="U397" s="23" t="s">
        <v>54</v>
      </c>
      <c r="V397" s="23"/>
      <c r="W397" s="31">
        <v>17.657</v>
      </c>
      <c r="Y397" t="s">
        <v>40</v>
      </c>
      <c r="Z397" t="s">
        <v>53</v>
      </c>
      <c r="AA397" t="s">
        <v>51</v>
      </c>
      <c r="AB397" t="s">
        <v>785</v>
      </c>
      <c r="AF397" t="s">
        <v>1437</v>
      </c>
      <c r="AG397" t="s">
        <v>58</v>
      </c>
      <c r="BX397" t="s">
        <v>871</v>
      </c>
    </row>
    <row r="398" spans="1:104">
      <c r="A398" s="32" t="s">
        <v>872</v>
      </c>
      <c r="B398" s="32" t="s">
        <v>83</v>
      </c>
      <c r="C398" s="23">
        <v>1</v>
      </c>
      <c r="D398" s="23">
        <v>4047600</v>
      </c>
      <c r="E398" s="23">
        <v>22</v>
      </c>
      <c r="F398" s="23">
        <v>16.542999999999999</v>
      </c>
      <c r="G398" s="23" t="s">
        <v>89</v>
      </c>
      <c r="H398" s="23">
        <v>376</v>
      </c>
      <c r="I398" s="23" t="s">
        <v>85</v>
      </c>
      <c r="J398" s="23" t="s">
        <v>873</v>
      </c>
      <c r="K398" s="23" t="s">
        <v>795</v>
      </c>
      <c r="L398" s="23" t="s">
        <v>870</v>
      </c>
      <c r="M398" s="23"/>
      <c r="N398" s="23"/>
      <c r="O398" s="23"/>
      <c r="P398" s="23"/>
      <c r="Q398" s="23"/>
      <c r="R398" s="23"/>
      <c r="S398" s="23" t="s">
        <v>64</v>
      </c>
      <c r="T398" s="23"/>
      <c r="U398" s="23" t="s">
        <v>87</v>
      </c>
      <c r="V398" s="23"/>
      <c r="W398" s="33">
        <v>0</v>
      </c>
      <c r="Y398" t="s">
        <v>161</v>
      </c>
      <c r="Z398" t="s">
        <v>53</v>
      </c>
      <c r="AA398" t="s">
        <v>51</v>
      </c>
      <c r="AB398" t="s">
        <v>785</v>
      </c>
      <c r="AC398" t="s">
        <v>1428</v>
      </c>
      <c r="AF398" t="s">
        <v>1437</v>
      </c>
      <c r="AG398" t="s">
        <v>58</v>
      </c>
      <c r="AI398" t="str">
        <f>BY398&amp;"_"&amp;CB398&amp;"_"&amp;L398&amp;"_p"&amp;C398&amp;"_"&amp;E398&amp;"st_"&amp;AK398&amp;"_"&amp;RIGHT(AG398,4)&amp;"_"&amp;AL398</f>
        <v>3_S235_SL400521105_p1_22st_G_2050_</v>
      </c>
      <c r="AK398" t="str">
        <f>CT398</f>
        <v>G</v>
      </c>
      <c r="AM398" t="s">
        <v>1674</v>
      </c>
      <c r="AZ398" s="64" t="s">
        <v>1592</v>
      </c>
      <c r="BX398" t="s">
        <v>1691</v>
      </c>
      <c r="BY398">
        <v>3</v>
      </c>
      <c r="BZ398" t="s">
        <v>1692</v>
      </c>
      <c r="CA398" t="s">
        <v>1693</v>
      </c>
      <c r="CB398" t="s">
        <v>1895</v>
      </c>
      <c r="CR398" t="s">
        <v>2025</v>
      </c>
      <c r="CT398" t="s">
        <v>1900</v>
      </c>
      <c r="CW398" t="b">
        <f>AI398=CR398</f>
        <v>1</v>
      </c>
      <c r="CX398" t="b">
        <f t="shared" ref="CX398" si="64">AJ398=CS398</f>
        <v>1</v>
      </c>
      <c r="CY398" t="b">
        <f t="shared" ref="CY398" si="65">AK398=CT398</f>
        <v>1</v>
      </c>
      <c r="CZ398" t="b">
        <f t="shared" ref="CZ398" si="66">AL398=CU398</f>
        <v>1</v>
      </c>
    </row>
    <row r="399" spans="1:104" hidden="1">
      <c r="A399" s="29" t="s">
        <v>874</v>
      </c>
      <c r="B399" s="29" t="s">
        <v>79</v>
      </c>
      <c r="C399" s="30">
        <v>2</v>
      </c>
      <c r="D399" s="30" t="s">
        <v>805</v>
      </c>
      <c r="E399" s="30">
        <v>22</v>
      </c>
      <c r="F399" s="30"/>
      <c r="G399" s="30" t="s">
        <v>52</v>
      </c>
      <c r="H399" s="30"/>
      <c r="I399" s="30"/>
      <c r="J399" s="30"/>
      <c r="K399" s="30" t="s">
        <v>806</v>
      </c>
      <c r="L399" s="30" t="s">
        <v>805</v>
      </c>
      <c r="M399" s="30">
        <v>2</v>
      </c>
      <c r="N399" s="30"/>
      <c r="O399" s="23"/>
      <c r="P399" s="23"/>
      <c r="Q399" s="23"/>
      <c r="R399" s="23"/>
      <c r="S399" s="23" t="s">
        <v>64</v>
      </c>
      <c r="T399" s="23"/>
      <c r="U399" s="23" t="s">
        <v>54</v>
      </c>
      <c r="V399" s="23"/>
      <c r="W399" s="31">
        <v>4</v>
      </c>
      <c r="Y399" t="s">
        <v>40</v>
      </c>
      <c r="Z399" t="s">
        <v>53</v>
      </c>
      <c r="AA399" t="s">
        <v>51</v>
      </c>
      <c r="AB399" t="s">
        <v>785</v>
      </c>
      <c r="AC399" t="s">
        <v>1420</v>
      </c>
      <c r="AF399" t="s">
        <v>1437</v>
      </c>
      <c r="AG399" t="s">
        <v>58</v>
      </c>
      <c r="BX399" t="s">
        <v>806</v>
      </c>
    </row>
    <row r="400" spans="1:104" hidden="1">
      <c r="A400" s="32" t="s">
        <v>875</v>
      </c>
      <c r="B400" s="32" t="s">
        <v>83</v>
      </c>
      <c r="C400" s="23">
        <v>1</v>
      </c>
      <c r="D400" s="23">
        <v>3740200</v>
      </c>
      <c r="E400" s="23">
        <v>22</v>
      </c>
      <c r="F400" s="23">
        <v>2.8410000000000002</v>
      </c>
      <c r="G400" s="23" t="s">
        <v>89</v>
      </c>
      <c r="H400" s="23" t="s">
        <v>808</v>
      </c>
      <c r="I400" s="23" t="s">
        <v>85</v>
      </c>
      <c r="J400" s="23">
        <v>65</v>
      </c>
      <c r="K400" s="23" t="s">
        <v>92</v>
      </c>
      <c r="L400" s="23" t="s">
        <v>805</v>
      </c>
      <c r="M400" s="23"/>
      <c r="N400" s="23"/>
      <c r="O400" s="23"/>
      <c r="P400" s="23"/>
      <c r="Q400" s="23"/>
      <c r="R400" s="23"/>
      <c r="S400" s="23" t="s">
        <v>64</v>
      </c>
      <c r="T400" s="23"/>
      <c r="U400" s="23" t="s">
        <v>87</v>
      </c>
      <c r="V400" s="23"/>
      <c r="W400" s="33">
        <v>0</v>
      </c>
      <c r="Y400" t="s">
        <v>161</v>
      </c>
      <c r="Z400" t="s">
        <v>53</v>
      </c>
      <c r="AA400" t="s">
        <v>51</v>
      </c>
      <c r="AB400" t="s">
        <v>785</v>
      </c>
      <c r="AC400" t="s">
        <v>1420</v>
      </c>
      <c r="AF400" t="s">
        <v>1437</v>
      </c>
      <c r="AG400" t="s">
        <v>58</v>
      </c>
      <c r="AI400" t="str">
        <f>BY400&amp;"_"&amp;CB400&amp;"_"&amp;L400&amp;"_p"&amp;C400&amp;"_"&amp;E400&amp;"st_"&amp;AK400&amp;"_"&amp;RIGHT(AG400,4)&amp;"_"&amp;AL400</f>
        <v>4_S235_SL40051402_p1_22st__2050_</v>
      </c>
      <c r="AM400" t="s">
        <v>1673</v>
      </c>
      <c r="AZ400" s="64" t="s">
        <v>1583</v>
      </c>
      <c r="BA400" s="64" t="s">
        <v>1584</v>
      </c>
      <c r="BX400" t="s">
        <v>1691</v>
      </c>
      <c r="BY400">
        <v>4</v>
      </c>
      <c r="BZ400" t="s">
        <v>1692</v>
      </c>
      <c r="CA400" t="s">
        <v>1693</v>
      </c>
      <c r="CB400" t="s">
        <v>1895</v>
      </c>
      <c r="CG400">
        <v>4</v>
      </c>
      <c r="CH400" t="s">
        <v>1895</v>
      </c>
      <c r="CI400" t="s">
        <v>805</v>
      </c>
      <c r="CJ400" t="s">
        <v>1898</v>
      </c>
      <c r="CK400" t="s">
        <v>1899</v>
      </c>
      <c r="CL400" t="s">
        <v>1900</v>
      </c>
      <c r="CM400">
        <v>3902</v>
      </c>
      <c r="CN400">
        <v>2</v>
      </c>
      <c r="CR400" t="s">
        <v>2026</v>
      </c>
    </row>
    <row r="401" spans="1:104" hidden="1">
      <c r="A401" s="29" t="s">
        <v>876</v>
      </c>
      <c r="B401" s="29" t="s">
        <v>79</v>
      </c>
      <c r="C401" s="30">
        <v>3</v>
      </c>
      <c r="D401" s="30" t="s">
        <v>799</v>
      </c>
      <c r="E401" s="30">
        <v>44</v>
      </c>
      <c r="F401" s="30"/>
      <c r="G401" s="30" t="s">
        <v>52</v>
      </c>
      <c r="H401" s="30"/>
      <c r="I401" s="30"/>
      <c r="J401" s="30"/>
      <c r="K401" s="30" t="s">
        <v>800</v>
      </c>
      <c r="L401" s="30" t="s">
        <v>799</v>
      </c>
      <c r="M401" s="30">
        <v>3</v>
      </c>
      <c r="N401" s="30"/>
      <c r="O401" s="23"/>
      <c r="P401" s="23"/>
      <c r="Q401" s="23"/>
      <c r="R401" s="23"/>
      <c r="S401" s="23"/>
      <c r="T401" s="23"/>
      <c r="U401" s="23" t="s">
        <v>54</v>
      </c>
      <c r="V401" s="23"/>
      <c r="W401" s="31">
        <v>2.6440000000000001</v>
      </c>
      <c r="Y401" t="s">
        <v>40</v>
      </c>
      <c r="Z401" t="s">
        <v>53</v>
      </c>
      <c r="AA401" t="s">
        <v>51</v>
      </c>
      <c r="AB401" t="s">
        <v>785</v>
      </c>
      <c r="AF401" t="s">
        <v>1437</v>
      </c>
      <c r="AG401" t="s">
        <v>58</v>
      </c>
      <c r="BX401" t="s">
        <v>800</v>
      </c>
    </row>
    <row r="402" spans="1:104">
      <c r="A402" s="32" t="s">
        <v>877</v>
      </c>
      <c r="B402" s="32" t="s">
        <v>83</v>
      </c>
      <c r="C402" s="23">
        <v>1</v>
      </c>
      <c r="D402" s="23">
        <v>3670100</v>
      </c>
      <c r="E402" s="23">
        <v>44</v>
      </c>
      <c r="F402" s="23">
        <v>2.98</v>
      </c>
      <c r="G402" s="23" t="s">
        <v>89</v>
      </c>
      <c r="H402" s="23">
        <v>755</v>
      </c>
      <c r="I402" s="23" t="s">
        <v>85</v>
      </c>
      <c r="J402" s="23">
        <v>90</v>
      </c>
      <c r="K402" s="23" t="s">
        <v>188</v>
      </c>
      <c r="L402" s="23" t="s">
        <v>799</v>
      </c>
      <c r="M402" s="23"/>
      <c r="N402" s="23"/>
      <c r="O402" s="23"/>
      <c r="P402" s="23"/>
      <c r="Q402" s="23"/>
      <c r="R402" s="23"/>
      <c r="S402" s="23" t="s">
        <v>64</v>
      </c>
      <c r="T402" s="23"/>
      <c r="U402" s="23" t="s">
        <v>87</v>
      </c>
      <c r="V402" s="23"/>
      <c r="W402" s="33">
        <v>0</v>
      </c>
      <c r="Y402" t="s">
        <v>161</v>
      </c>
      <c r="Z402" t="s">
        <v>53</v>
      </c>
      <c r="AA402" t="s">
        <v>51</v>
      </c>
      <c r="AB402" t="s">
        <v>785</v>
      </c>
      <c r="AF402" t="s">
        <v>1437</v>
      </c>
      <c r="AG402" t="s">
        <v>58</v>
      </c>
      <c r="AI402" t="str">
        <f>BY402&amp;"_"&amp;CB402&amp;"_"&amp;L402&amp;"_p"&amp;C402&amp;"_"&amp;E402&amp;"st_"&amp;AK402&amp;"_"&amp;RIGHT(AG402,4)&amp;"_"&amp;AL402</f>
        <v>5_S235_SL41051205_p1_44st_GS_2050_</v>
      </c>
      <c r="AK402" t="str">
        <f>CT402</f>
        <v>GS</v>
      </c>
      <c r="AM402" t="s">
        <v>1674</v>
      </c>
      <c r="AZ402" s="64" t="s">
        <v>1582</v>
      </c>
      <c r="BX402" t="s">
        <v>1691</v>
      </c>
      <c r="BY402">
        <v>5</v>
      </c>
      <c r="BZ402" t="s">
        <v>1692</v>
      </c>
      <c r="CA402" t="s">
        <v>1693</v>
      </c>
      <c r="CB402" t="s">
        <v>1895</v>
      </c>
      <c r="CR402" t="s">
        <v>2027</v>
      </c>
      <c r="CT402" t="s">
        <v>1903</v>
      </c>
      <c r="CW402" t="b">
        <f>AI402=CR402</f>
        <v>1</v>
      </c>
      <c r="CX402" t="b">
        <f t="shared" ref="CX402" si="67">AJ402=CS402</f>
        <v>1</v>
      </c>
      <c r="CY402" t="b">
        <f t="shared" ref="CY402" si="68">AK402=CT402</f>
        <v>1</v>
      </c>
      <c r="CZ402" t="b">
        <f t="shared" ref="CZ402" si="69">AL402=CU402</f>
        <v>1</v>
      </c>
    </row>
    <row r="403" spans="1:104" hidden="1">
      <c r="A403" s="32" t="s">
        <v>878</v>
      </c>
      <c r="B403" s="32" t="s">
        <v>83</v>
      </c>
      <c r="C403" s="23">
        <v>101</v>
      </c>
      <c r="D403" s="23">
        <v>7860400</v>
      </c>
      <c r="E403" s="23">
        <v>44</v>
      </c>
      <c r="F403" s="23"/>
      <c r="G403" s="23" t="s">
        <v>52</v>
      </c>
      <c r="H403" s="23"/>
      <c r="I403" s="23"/>
      <c r="J403" s="23"/>
      <c r="K403" s="23" t="s">
        <v>803</v>
      </c>
      <c r="L403" s="23" t="s">
        <v>799</v>
      </c>
      <c r="M403" s="23"/>
      <c r="N403" s="23"/>
      <c r="O403" s="23"/>
      <c r="P403" s="23"/>
      <c r="Q403" s="23"/>
      <c r="R403" s="23"/>
      <c r="S403" s="23" t="s">
        <v>64</v>
      </c>
      <c r="T403" s="23"/>
      <c r="U403" s="23" t="s">
        <v>17</v>
      </c>
      <c r="V403" s="23"/>
      <c r="W403" s="33">
        <v>0.01</v>
      </c>
      <c r="Y403" t="s">
        <v>124</v>
      </c>
      <c r="Z403" t="s">
        <v>53</v>
      </c>
      <c r="AA403" t="s">
        <v>51</v>
      </c>
      <c r="AB403" t="s">
        <v>785</v>
      </c>
      <c r="AF403" t="s">
        <v>1437</v>
      </c>
      <c r="AG403" t="s">
        <v>58</v>
      </c>
      <c r="BX403" t="s">
        <v>1799</v>
      </c>
      <c r="BY403" t="s">
        <v>229</v>
      </c>
      <c r="BZ403" t="s">
        <v>1809</v>
      </c>
      <c r="CA403" t="s">
        <v>1801</v>
      </c>
      <c r="CB403" t="s">
        <v>1802</v>
      </c>
    </row>
    <row r="404" spans="1:104" hidden="1">
      <c r="A404" s="29" t="s">
        <v>879</v>
      </c>
      <c r="B404" s="29" t="s">
        <v>79</v>
      </c>
      <c r="C404" s="30">
        <v>4</v>
      </c>
      <c r="D404" s="30" t="s">
        <v>880</v>
      </c>
      <c r="E404" s="30">
        <v>22</v>
      </c>
      <c r="F404" s="30"/>
      <c r="G404" s="30" t="s">
        <v>52</v>
      </c>
      <c r="H404" s="30"/>
      <c r="I404" s="30"/>
      <c r="J404" s="30"/>
      <c r="K404" s="30" t="s">
        <v>881</v>
      </c>
      <c r="L404" s="30" t="s">
        <v>880</v>
      </c>
      <c r="M404" s="30">
        <v>2</v>
      </c>
      <c r="N404" s="30"/>
      <c r="O404" s="23"/>
      <c r="P404" s="23"/>
      <c r="Q404" s="23"/>
      <c r="R404" s="23"/>
      <c r="S404" s="23" t="s">
        <v>64</v>
      </c>
      <c r="T404" s="23"/>
      <c r="U404" s="23" t="s">
        <v>54</v>
      </c>
      <c r="V404" s="23"/>
      <c r="W404" s="31">
        <v>11.619</v>
      </c>
      <c r="Y404" t="s">
        <v>40</v>
      </c>
      <c r="Z404" t="s">
        <v>53</v>
      </c>
      <c r="AA404" t="s">
        <v>51</v>
      </c>
      <c r="AB404" t="s">
        <v>785</v>
      </c>
      <c r="AF404" t="s">
        <v>1437</v>
      </c>
      <c r="AG404" t="s">
        <v>58</v>
      </c>
      <c r="BX404" t="s">
        <v>881</v>
      </c>
    </row>
    <row r="405" spans="1:104" s="79" customFormat="1">
      <c r="A405" s="80" t="s">
        <v>882</v>
      </c>
      <c r="B405" s="80" t="s">
        <v>83</v>
      </c>
      <c r="C405" s="81">
        <v>1</v>
      </c>
      <c r="D405" s="81">
        <v>272300</v>
      </c>
      <c r="E405" s="81">
        <v>22</v>
      </c>
      <c r="F405" s="81">
        <v>20.146000000000001</v>
      </c>
      <c r="G405" s="81" t="s">
        <v>89</v>
      </c>
      <c r="H405" s="81">
        <v>458</v>
      </c>
      <c r="I405" s="81" t="s">
        <v>85</v>
      </c>
      <c r="J405" s="81" t="s">
        <v>873</v>
      </c>
      <c r="K405" s="81" t="s">
        <v>422</v>
      </c>
      <c r="L405" s="81" t="s">
        <v>880</v>
      </c>
      <c r="M405" s="81"/>
      <c r="N405" s="81"/>
      <c r="O405" s="23"/>
      <c r="P405" s="23"/>
      <c r="Q405" s="23"/>
      <c r="R405" s="23"/>
      <c r="S405" s="23" t="s">
        <v>64</v>
      </c>
      <c r="T405" s="23"/>
      <c r="U405" s="23" t="s">
        <v>87</v>
      </c>
      <c r="V405" s="23"/>
      <c r="W405" s="82">
        <v>0</v>
      </c>
      <c r="Y405" s="79" t="s">
        <v>161</v>
      </c>
      <c r="Z405" s="79" t="s">
        <v>53</v>
      </c>
      <c r="AA405" s="79" t="s">
        <v>51</v>
      </c>
      <c r="AB405" s="79" t="s">
        <v>785</v>
      </c>
      <c r="AC405" s="79" t="s">
        <v>1428</v>
      </c>
      <c r="AF405" s="79" t="s">
        <v>1437</v>
      </c>
      <c r="AG405" s="79" t="s">
        <v>58</v>
      </c>
      <c r="AI405" s="79" t="str">
        <f>BY405&amp;"_"&amp;CB405&amp;"_"&amp;L405&amp;"_p"&amp;C405&amp;"_"&amp;E405&amp;"st_"&amp;AK405&amp;"_"&amp;RIGHT(AG405,4)&amp;"_"&amp;AL405</f>
        <v>2_DC01_SL41052302_p1_22st_G_2050_</v>
      </c>
      <c r="AK405" s="79" t="s">
        <v>1900</v>
      </c>
      <c r="AM405" s="79" t="s">
        <v>1675</v>
      </c>
      <c r="AO405"/>
      <c r="AP405"/>
      <c r="AQ405"/>
      <c r="AR405"/>
      <c r="AS405"/>
      <c r="AT405"/>
      <c r="AU405"/>
      <c r="AV405"/>
      <c r="AW405"/>
      <c r="AX405"/>
      <c r="AY405"/>
      <c r="AZ405" s="83" t="s">
        <v>1593</v>
      </c>
      <c r="BA405" s="83" t="s">
        <v>1594</v>
      </c>
      <c r="BX405" s="79" t="s">
        <v>1691</v>
      </c>
      <c r="BY405" s="79">
        <v>2</v>
      </c>
      <c r="BZ405" s="79" t="s">
        <v>1767</v>
      </c>
      <c r="CA405" s="79" t="s">
        <v>1768</v>
      </c>
      <c r="CB405" s="79" t="s">
        <v>1894</v>
      </c>
      <c r="CG405" s="79">
        <v>2</v>
      </c>
      <c r="CH405" s="79" t="s">
        <v>1769</v>
      </c>
      <c r="CI405" s="79" t="s">
        <v>880</v>
      </c>
      <c r="CJ405" s="79" t="s">
        <v>1898</v>
      </c>
      <c r="CK405" s="79" t="s">
        <v>1920</v>
      </c>
      <c r="CL405" s="79" t="s">
        <v>1900</v>
      </c>
      <c r="CM405" s="79">
        <v>1295</v>
      </c>
      <c r="CR405" s="79" t="s">
        <v>2028</v>
      </c>
      <c r="CT405" s="79" t="s">
        <v>1900</v>
      </c>
    </row>
    <row r="406" spans="1:104" hidden="1">
      <c r="A406" s="32" t="s">
        <v>883</v>
      </c>
      <c r="B406" s="32" t="s">
        <v>79</v>
      </c>
      <c r="C406" s="23">
        <v>101</v>
      </c>
      <c r="D406" s="23">
        <v>4208800</v>
      </c>
      <c r="E406" s="23">
        <v>88</v>
      </c>
      <c r="F406" s="23"/>
      <c r="G406" s="23" t="s">
        <v>52</v>
      </c>
      <c r="H406" s="23"/>
      <c r="I406" s="23"/>
      <c r="J406" s="23"/>
      <c r="K406" s="23" t="s">
        <v>864</v>
      </c>
      <c r="L406" s="23" t="s">
        <v>880</v>
      </c>
      <c r="M406" s="23"/>
      <c r="N406" s="23"/>
      <c r="O406" s="23"/>
      <c r="P406" s="23"/>
      <c r="Q406" s="23"/>
      <c r="R406" s="23"/>
      <c r="S406" s="23" t="s">
        <v>64</v>
      </c>
      <c r="T406" s="23"/>
      <c r="U406" s="23" t="s">
        <v>17</v>
      </c>
      <c r="V406" s="23"/>
      <c r="W406" s="33">
        <v>0.08</v>
      </c>
      <c r="Y406" t="s">
        <v>124</v>
      </c>
      <c r="Z406" t="s">
        <v>53</v>
      </c>
      <c r="AA406" t="s">
        <v>51</v>
      </c>
      <c r="AB406" t="s">
        <v>785</v>
      </c>
      <c r="AF406" t="s">
        <v>1437</v>
      </c>
      <c r="AG406" t="s">
        <v>58</v>
      </c>
      <c r="BX406" t="s">
        <v>1815</v>
      </c>
      <c r="BY406" t="s">
        <v>280</v>
      </c>
      <c r="BZ406" t="s">
        <v>1816</v>
      </c>
      <c r="CA406" t="s">
        <v>1709</v>
      </c>
    </row>
    <row r="407" spans="1:104" hidden="1">
      <c r="A407" s="32" t="s">
        <v>884</v>
      </c>
      <c r="B407" s="32" t="s">
        <v>79</v>
      </c>
      <c r="C407" s="23">
        <v>102</v>
      </c>
      <c r="D407" s="23">
        <v>24707900</v>
      </c>
      <c r="E407" s="23">
        <v>352</v>
      </c>
      <c r="F407" s="23"/>
      <c r="G407" s="23" t="s">
        <v>52</v>
      </c>
      <c r="H407" s="23" t="s">
        <v>275</v>
      </c>
      <c r="I407" s="23"/>
      <c r="J407" s="23"/>
      <c r="K407" s="23" t="s">
        <v>276</v>
      </c>
      <c r="L407" s="23" t="s">
        <v>880</v>
      </c>
      <c r="M407" s="23"/>
      <c r="N407" s="23"/>
      <c r="O407" s="23"/>
      <c r="P407" s="23"/>
      <c r="Q407" s="23"/>
      <c r="R407" s="23"/>
      <c r="S407" s="23" t="s">
        <v>64</v>
      </c>
      <c r="T407" s="23"/>
      <c r="U407" s="23" t="s">
        <v>17</v>
      </c>
      <c r="V407" s="23"/>
      <c r="W407" s="33">
        <v>1.7000000000000001E-2</v>
      </c>
      <c r="Y407" t="s">
        <v>124</v>
      </c>
      <c r="Z407" t="s">
        <v>53</v>
      </c>
      <c r="AA407" t="s">
        <v>51</v>
      </c>
      <c r="AB407" t="s">
        <v>785</v>
      </c>
      <c r="AF407" t="s">
        <v>1437</v>
      </c>
      <c r="AG407" t="s">
        <v>58</v>
      </c>
      <c r="BX407" t="s">
        <v>1717</v>
      </c>
      <c r="BY407" t="s">
        <v>275</v>
      </c>
      <c r="BZ407" t="s">
        <v>1718</v>
      </c>
      <c r="CA407">
        <v>8</v>
      </c>
      <c r="CB407" t="s">
        <v>1715</v>
      </c>
      <c r="CC407" t="s">
        <v>1716</v>
      </c>
    </row>
    <row r="408" spans="1:104" hidden="1">
      <c r="A408" s="32" t="s">
        <v>885</v>
      </c>
      <c r="B408" s="32" t="s">
        <v>79</v>
      </c>
      <c r="C408" s="23">
        <v>103</v>
      </c>
      <c r="D408" s="23">
        <v>3301400</v>
      </c>
      <c r="E408" s="23">
        <v>704</v>
      </c>
      <c r="F408" s="23"/>
      <c r="G408" s="23" t="s">
        <v>52</v>
      </c>
      <c r="H408" s="23"/>
      <c r="I408" s="23"/>
      <c r="J408" s="23"/>
      <c r="K408" s="23" t="s">
        <v>327</v>
      </c>
      <c r="L408" s="23" t="s">
        <v>880</v>
      </c>
      <c r="M408" s="23"/>
      <c r="N408" s="23"/>
      <c r="O408" s="23"/>
      <c r="P408" s="23"/>
      <c r="Q408" s="23"/>
      <c r="R408" s="23"/>
      <c r="S408" s="23" t="s">
        <v>64</v>
      </c>
      <c r="T408" s="23"/>
      <c r="U408" s="23" t="s">
        <v>17</v>
      </c>
      <c r="V408" s="23"/>
      <c r="W408" s="33">
        <v>6.0000000000000001E-3</v>
      </c>
      <c r="Y408" t="s">
        <v>124</v>
      </c>
      <c r="Z408" t="s">
        <v>53</v>
      </c>
      <c r="AA408" t="s">
        <v>51</v>
      </c>
      <c r="AB408" t="s">
        <v>785</v>
      </c>
      <c r="AF408" t="s">
        <v>1437</v>
      </c>
      <c r="AG408" t="s">
        <v>58</v>
      </c>
      <c r="BX408" t="s">
        <v>1719</v>
      </c>
      <c r="BY408" t="s">
        <v>275</v>
      </c>
      <c r="BZ408" t="s">
        <v>1748</v>
      </c>
      <c r="CA408" t="s">
        <v>1749</v>
      </c>
      <c r="CB408" t="s">
        <v>1715</v>
      </c>
      <c r="CC408" t="s">
        <v>1716</v>
      </c>
    </row>
    <row r="409" spans="1:104" hidden="1">
      <c r="A409" s="32" t="s">
        <v>886</v>
      </c>
      <c r="B409" s="32" t="s">
        <v>79</v>
      </c>
      <c r="C409" s="23">
        <v>104</v>
      </c>
      <c r="D409" s="23">
        <v>28801500</v>
      </c>
      <c r="E409" s="23">
        <v>88</v>
      </c>
      <c r="F409" s="23"/>
      <c r="G409" s="23" t="s">
        <v>52</v>
      </c>
      <c r="H409" s="23" t="s">
        <v>861</v>
      </c>
      <c r="I409" s="23"/>
      <c r="J409" s="23"/>
      <c r="K409" s="23" t="s">
        <v>862</v>
      </c>
      <c r="L409" s="23" t="s">
        <v>880</v>
      </c>
      <c r="M409" s="23"/>
      <c r="N409" s="23"/>
      <c r="O409" s="23"/>
      <c r="P409" s="23"/>
      <c r="Q409" s="23"/>
      <c r="R409" s="23"/>
      <c r="S409" s="23" t="s">
        <v>64</v>
      </c>
      <c r="T409" s="23"/>
      <c r="U409" s="23" t="s">
        <v>17</v>
      </c>
      <c r="V409" s="23"/>
      <c r="W409" s="33">
        <v>0.1</v>
      </c>
      <c r="Y409" t="s">
        <v>124</v>
      </c>
      <c r="Z409" t="s">
        <v>53</v>
      </c>
      <c r="AA409" t="s">
        <v>51</v>
      </c>
      <c r="AB409" t="s">
        <v>785</v>
      </c>
      <c r="AF409" t="s">
        <v>1437</v>
      </c>
      <c r="AG409" t="s">
        <v>58</v>
      </c>
      <c r="BX409" t="s">
        <v>1713</v>
      </c>
      <c r="BY409" t="s">
        <v>861</v>
      </c>
      <c r="BZ409" t="s">
        <v>1714</v>
      </c>
      <c r="CA409" s="76">
        <v>46242</v>
      </c>
      <c r="CB409" t="s">
        <v>1740</v>
      </c>
    </row>
    <row r="410" spans="1:104" hidden="1">
      <c r="A410" s="32" t="s">
        <v>887</v>
      </c>
      <c r="B410" s="32" t="s">
        <v>79</v>
      </c>
      <c r="C410" s="23">
        <v>105</v>
      </c>
      <c r="D410" s="23">
        <v>24724300</v>
      </c>
      <c r="E410" s="23">
        <v>44</v>
      </c>
      <c r="F410" s="23"/>
      <c r="G410" s="23" t="s">
        <v>52</v>
      </c>
      <c r="H410" s="23" t="s">
        <v>226</v>
      </c>
      <c r="I410" s="23"/>
      <c r="J410" s="23"/>
      <c r="K410" s="23" t="s">
        <v>227</v>
      </c>
      <c r="L410" s="23" t="s">
        <v>880</v>
      </c>
      <c r="M410" s="23"/>
      <c r="N410" s="23"/>
      <c r="O410" s="23"/>
      <c r="P410" s="23"/>
      <c r="Q410" s="23"/>
      <c r="R410" s="23"/>
      <c r="S410" s="23" t="s">
        <v>64</v>
      </c>
      <c r="T410" s="23"/>
      <c r="U410" s="23" t="s">
        <v>17</v>
      </c>
      <c r="V410" s="23"/>
      <c r="W410" s="33">
        <v>2.5999999999999999E-2</v>
      </c>
      <c r="Y410" t="s">
        <v>124</v>
      </c>
      <c r="Z410" t="s">
        <v>53</v>
      </c>
      <c r="AA410" t="s">
        <v>51</v>
      </c>
      <c r="AB410" t="s">
        <v>785</v>
      </c>
      <c r="AF410" t="s">
        <v>1437</v>
      </c>
      <c r="AG410" t="s">
        <v>58</v>
      </c>
      <c r="BX410" t="s">
        <v>1713</v>
      </c>
      <c r="BY410" t="s">
        <v>1741</v>
      </c>
      <c r="BZ410" t="s">
        <v>1714</v>
      </c>
      <c r="CA410" s="76">
        <v>46242</v>
      </c>
      <c r="CB410" t="s">
        <v>1740</v>
      </c>
    </row>
    <row r="411" spans="1:104" hidden="1">
      <c r="A411" s="32" t="s">
        <v>888</v>
      </c>
      <c r="B411" s="32" t="s">
        <v>79</v>
      </c>
      <c r="C411" s="23">
        <v>106</v>
      </c>
      <c r="D411" s="23">
        <v>2600700</v>
      </c>
      <c r="E411" s="23">
        <v>44</v>
      </c>
      <c r="F411" s="23"/>
      <c r="G411" s="23" t="s">
        <v>52</v>
      </c>
      <c r="H411" s="23"/>
      <c r="I411" s="23"/>
      <c r="J411" s="23"/>
      <c r="K411" s="23" t="s">
        <v>263</v>
      </c>
      <c r="L411" s="23" t="s">
        <v>880</v>
      </c>
      <c r="M411" s="23"/>
      <c r="N411" s="23"/>
      <c r="O411" s="23"/>
      <c r="P411" s="23"/>
      <c r="Q411" s="23"/>
      <c r="R411" s="23"/>
      <c r="S411" s="23" t="s">
        <v>64</v>
      </c>
      <c r="T411" s="23"/>
      <c r="U411" s="23" t="s">
        <v>17</v>
      </c>
      <c r="V411" s="23"/>
      <c r="W411" s="33">
        <v>3.0000000000000001E-3</v>
      </c>
      <c r="Y411" t="s">
        <v>124</v>
      </c>
      <c r="Z411" t="s">
        <v>53</v>
      </c>
      <c r="AA411" t="s">
        <v>51</v>
      </c>
      <c r="AB411" t="s">
        <v>785</v>
      </c>
      <c r="AF411" t="s">
        <v>1437</v>
      </c>
      <c r="AG411" t="s">
        <v>58</v>
      </c>
      <c r="BX411" t="s">
        <v>1719</v>
      </c>
      <c r="BY411" t="s">
        <v>229</v>
      </c>
      <c r="BZ411" t="s">
        <v>1748</v>
      </c>
      <c r="CA411" t="s">
        <v>1749</v>
      </c>
      <c r="CB411" t="s">
        <v>1715</v>
      </c>
      <c r="CC411" t="s">
        <v>1716</v>
      </c>
    </row>
    <row r="412" spans="1:104" hidden="1">
      <c r="A412" s="32" t="s">
        <v>889</v>
      </c>
      <c r="B412" s="32" t="s">
        <v>79</v>
      </c>
      <c r="C412" s="23">
        <v>107</v>
      </c>
      <c r="D412" s="23">
        <v>25359500</v>
      </c>
      <c r="E412" s="23">
        <v>176</v>
      </c>
      <c r="F412" s="23"/>
      <c r="G412" s="23" t="s">
        <v>52</v>
      </c>
      <c r="H412" s="23" t="s">
        <v>283</v>
      </c>
      <c r="I412" s="23"/>
      <c r="J412" s="23"/>
      <c r="K412" s="23" t="s">
        <v>284</v>
      </c>
      <c r="L412" s="23" t="s">
        <v>880</v>
      </c>
      <c r="M412" s="23"/>
      <c r="N412" s="23"/>
      <c r="O412" s="23"/>
      <c r="P412" s="23"/>
      <c r="Q412" s="23"/>
      <c r="R412" s="23"/>
      <c r="S412" s="23" t="s">
        <v>64</v>
      </c>
      <c r="T412" s="23"/>
      <c r="U412" s="23" t="s">
        <v>17</v>
      </c>
      <c r="V412" s="23"/>
      <c r="W412" s="33">
        <v>4.8000000000000001E-2</v>
      </c>
      <c r="Y412" t="s">
        <v>124</v>
      </c>
      <c r="Z412" t="s">
        <v>53</v>
      </c>
      <c r="AA412" t="s">
        <v>51</v>
      </c>
      <c r="AB412" t="s">
        <v>785</v>
      </c>
      <c r="AF412" t="s">
        <v>1437</v>
      </c>
      <c r="AG412" t="s">
        <v>58</v>
      </c>
      <c r="BX412" t="s">
        <v>1713</v>
      </c>
      <c r="BY412" t="s">
        <v>283</v>
      </c>
      <c r="BZ412" t="s">
        <v>1714</v>
      </c>
      <c r="CA412" s="76">
        <v>46242</v>
      </c>
      <c r="CB412" t="s">
        <v>1715</v>
      </c>
      <c r="CC412" t="s">
        <v>1716</v>
      </c>
    </row>
    <row r="413" spans="1:104" hidden="1">
      <c r="A413" s="32" t="s">
        <v>890</v>
      </c>
      <c r="B413" s="32" t="s">
        <v>79</v>
      </c>
      <c r="C413" s="23">
        <v>108</v>
      </c>
      <c r="D413" s="23">
        <v>2282100</v>
      </c>
      <c r="E413" s="23">
        <v>176</v>
      </c>
      <c r="F413" s="23"/>
      <c r="G413" s="23" t="s">
        <v>52</v>
      </c>
      <c r="H413" s="23" t="s">
        <v>275</v>
      </c>
      <c r="I413" s="23"/>
      <c r="J413" s="23"/>
      <c r="K413" s="23" t="s">
        <v>370</v>
      </c>
      <c r="L413" s="23" t="s">
        <v>880</v>
      </c>
      <c r="M413" s="23"/>
      <c r="N413" s="23"/>
      <c r="O413" s="23"/>
      <c r="P413" s="23"/>
      <c r="Q413" s="23"/>
      <c r="R413" s="23"/>
      <c r="S413" s="23" t="s">
        <v>64</v>
      </c>
      <c r="T413" s="23"/>
      <c r="U413" s="23" t="s">
        <v>17</v>
      </c>
      <c r="V413" s="23"/>
      <c r="W413" s="33">
        <v>0.06</v>
      </c>
      <c r="Y413" t="s">
        <v>124</v>
      </c>
      <c r="Z413" t="s">
        <v>53</v>
      </c>
      <c r="AA413" t="s">
        <v>51</v>
      </c>
      <c r="AB413" t="s">
        <v>785</v>
      </c>
      <c r="AF413" t="s">
        <v>1437</v>
      </c>
      <c r="AG413" t="s">
        <v>58</v>
      </c>
      <c r="BX413" t="s">
        <v>1717</v>
      </c>
      <c r="BY413" t="s">
        <v>275</v>
      </c>
      <c r="BZ413" t="s">
        <v>1762</v>
      </c>
      <c r="CA413">
        <v>4</v>
      </c>
      <c r="CB413" t="s">
        <v>1740</v>
      </c>
    </row>
    <row r="414" spans="1:104" hidden="1">
      <c r="A414" s="26" t="s">
        <v>891</v>
      </c>
      <c r="B414" s="26" t="s">
        <v>62</v>
      </c>
      <c r="C414" s="27">
        <v>6</v>
      </c>
      <c r="D414" s="27" t="s">
        <v>892</v>
      </c>
      <c r="E414" s="27">
        <v>1</v>
      </c>
      <c r="F414" s="27"/>
      <c r="G414" s="27" t="s">
        <v>52</v>
      </c>
      <c r="H414" s="27"/>
      <c r="I414" s="27"/>
      <c r="J414" s="27"/>
      <c r="K414" s="27" t="s">
        <v>893</v>
      </c>
      <c r="L414" s="27" t="s">
        <v>880</v>
      </c>
      <c r="M414" s="27"/>
      <c r="N414" s="27"/>
      <c r="O414" s="30"/>
      <c r="P414" s="30"/>
      <c r="Q414" s="30"/>
      <c r="R414" s="30"/>
      <c r="S414" s="30"/>
      <c r="T414" s="30"/>
      <c r="U414" s="30" t="s">
        <v>54</v>
      </c>
      <c r="V414" s="30"/>
      <c r="W414" s="28">
        <v>524.84500000000003</v>
      </c>
      <c r="Y414" t="s">
        <v>40</v>
      </c>
      <c r="Z414" t="s">
        <v>53</v>
      </c>
      <c r="AA414" t="s">
        <v>51</v>
      </c>
      <c r="AB414" t="s">
        <v>894</v>
      </c>
      <c r="AF414" t="s">
        <v>1437</v>
      </c>
      <c r="AG414" t="s">
        <v>58</v>
      </c>
      <c r="BX414" t="s">
        <v>893</v>
      </c>
    </row>
    <row r="415" spans="1:104" hidden="1">
      <c r="A415" s="29" t="s">
        <v>895</v>
      </c>
      <c r="B415" s="29" t="s">
        <v>74</v>
      </c>
      <c r="C415" s="30">
        <v>1</v>
      </c>
      <c r="D415" s="30" t="s">
        <v>896</v>
      </c>
      <c r="E415" s="30">
        <v>2</v>
      </c>
      <c r="F415" s="30"/>
      <c r="G415" s="30" t="s">
        <v>52</v>
      </c>
      <c r="H415" s="30"/>
      <c r="I415" s="30"/>
      <c r="J415" s="30"/>
      <c r="K415" s="30" t="s">
        <v>897</v>
      </c>
      <c r="L415" s="30" t="s">
        <v>896</v>
      </c>
      <c r="M415" s="30">
        <v>2</v>
      </c>
      <c r="N415" s="30" t="s">
        <v>17</v>
      </c>
      <c r="O415" s="23"/>
      <c r="P415" s="23"/>
      <c r="Q415" s="23"/>
      <c r="R415" s="23"/>
      <c r="S415" s="23" t="s">
        <v>64</v>
      </c>
      <c r="T415" s="23"/>
      <c r="U415" s="23" t="s">
        <v>54</v>
      </c>
      <c r="V415" s="23"/>
      <c r="W415" s="31">
        <v>14.804</v>
      </c>
      <c r="Y415" t="s">
        <v>40</v>
      </c>
      <c r="Z415" t="s">
        <v>53</v>
      </c>
      <c r="AA415" t="s">
        <v>51</v>
      </c>
      <c r="AB415" t="s">
        <v>894</v>
      </c>
      <c r="AF415" t="s">
        <v>1437</v>
      </c>
      <c r="AG415" t="s">
        <v>58</v>
      </c>
      <c r="BX415" t="s">
        <v>897</v>
      </c>
    </row>
    <row r="416" spans="1:104" hidden="1">
      <c r="A416" s="29" t="s">
        <v>898</v>
      </c>
      <c r="B416" s="29" t="s">
        <v>79</v>
      </c>
      <c r="C416" s="30">
        <v>1</v>
      </c>
      <c r="D416" s="30" t="s">
        <v>899</v>
      </c>
      <c r="E416" s="30">
        <v>2</v>
      </c>
      <c r="F416" s="30"/>
      <c r="G416" s="30" t="s">
        <v>52</v>
      </c>
      <c r="H416" s="30"/>
      <c r="I416" s="30"/>
      <c r="J416" s="30"/>
      <c r="K416" s="30" t="s">
        <v>900</v>
      </c>
      <c r="L416" s="30" t="s">
        <v>899</v>
      </c>
      <c r="M416" s="30">
        <v>1</v>
      </c>
      <c r="N416" s="30"/>
      <c r="O416" s="23"/>
      <c r="P416" s="23"/>
      <c r="Q416" s="23"/>
      <c r="R416" s="23"/>
      <c r="S416" s="23" t="s">
        <v>64</v>
      </c>
      <c r="T416" s="23"/>
      <c r="U416" s="23" t="s">
        <v>54</v>
      </c>
      <c r="V416" s="23"/>
      <c r="W416" s="31">
        <v>14.5</v>
      </c>
      <c r="Y416" t="s">
        <v>40</v>
      </c>
      <c r="Z416" t="s">
        <v>53</v>
      </c>
      <c r="AA416" t="s">
        <v>51</v>
      </c>
      <c r="AB416" t="s">
        <v>894</v>
      </c>
      <c r="AC416" t="s">
        <v>1420</v>
      </c>
      <c r="AF416" t="s">
        <v>1437</v>
      </c>
      <c r="AG416" t="s">
        <v>58</v>
      </c>
      <c r="BX416" t="s">
        <v>900</v>
      </c>
    </row>
    <row r="417" spans="1:96" hidden="1">
      <c r="A417" s="29" t="s">
        <v>901</v>
      </c>
      <c r="B417" s="29" t="s">
        <v>83</v>
      </c>
      <c r="C417" s="30">
        <v>1</v>
      </c>
      <c r="D417" s="30" t="s">
        <v>902</v>
      </c>
      <c r="E417" s="30">
        <v>2</v>
      </c>
      <c r="F417" s="30"/>
      <c r="G417" s="30" t="s">
        <v>52</v>
      </c>
      <c r="H417" s="30"/>
      <c r="I417" s="30"/>
      <c r="J417" s="30"/>
      <c r="K417" s="30" t="s">
        <v>903</v>
      </c>
      <c r="L417" s="30" t="s">
        <v>902</v>
      </c>
      <c r="M417" s="30">
        <v>1</v>
      </c>
      <c r="N417" s="30"/>
      <c r="O417" s="23"/>
      <c r="P417" s="23"/>
      <c r="Q417" s="23"/>
      <c r="R417" s="23"/>
      <c r="S417" s="23" t="s">
        <v>64</v>
      </c>
      <c r="T417" s="23"/>
      <c r="U417" s="23" t="s">
        <v>54</v>
      </c>
      <c r="V417" s="23"/>
      <c r="W417" s="31">
        <v>8.3000000000000007</v>
      </c>
      <c r="Y417" t="s">
        <v>40</v>
      </c>
      <c r="Z417" t="s">
        <v>53</v>
      </c>
      <c r="AA417" t="s">
        <v>51</v>
      </c>
      <c r="AB417" t="s">
        <v>894</v>
      </c>
      <c r="AC417" t="s">
        <v>1420</v>
      </c>
      <c r="AF417" t="s">
        <v>1437</v>
      </c>
      <c r="AG417" t="s">
        <v>58</v>
      </c>
      <c r="BX417" t="s">
        <v>903</v>
      </c>
    </row>
    <row r="418" spans="1:96" hidden="1">
      <c r="A418" s="32" t="s">
        <v>904</v>
      </c>
      <c r="B418" s="32" t="s">
        <v>220</v>
      </c>
      <c r="C418" s="23">
        <v>1</v>
      </c>
      <c r="D418" s="23">
        <v>1700</v>
      </c>
      <c r="E418" s="23">
        <v>2</v>
      </c>
      <c r="F418" s="23"/>
      <c r="G418" s="23" t="s">
        <v>89</v>
      </c>
      <c r="H418" s="23" t="s">
        <v>905</v>
      </c>
      <c r="I418" s="23" t="s">
        <v>85</v>
      </c>
      <c r="J418" s="23">
        <v>171.7</v>
      </c>
      <c r="K418" s="23" t="s">
        <v>430</v>
      </c>
      <c r="L418" s="23" t="s">
        <v>902</v>
      </c>
      <c r="M418" s="23"/>
      <c r="N418" s="23"/>
      <c r="O418" s="23"/>
      <c r="P418" s="23"/>
      <c r="Q418" s="23"/>
      <c r="R418" s="23"/>
      <c r="S418" s="23" t="s">
        <v>64</v>
      </c>
      <c r="T418" s="23"/>
      <c r="U418" s="23" t="s">
        <v>87</v>
      </c>
      <c r="V418" s="23"/>
      <c r="W418" s="33">
        <v>0</v>
      </c>
      <c r="Y418" t="s">
        <v>161</v>
      </c>
      <c r="Z418" t="s">
        <v>53</v>
      </c>
      <c r="AA418" t="s">
        <v>51</v>
      </c>
      <c r="AB418" t="s">
        <v>894</v>
      </c>
      <c r="AC418" t="s">
        <v>1420</v>
      </c>
      <c r="AF418" t="s">
        <v>1437</v>
      </c>
      <c r="AG418" t="s">
        <v>58</v>
      </c>
      <c r="AI418" t="str">
        <f>BY418&amp;"_"&amp;CB418&amp;"_"&amp;L418&amp;"_p"&amp;C418&amp;"_"&amp;E418&amp;"st_"&amp;AK418&amp;"_"&amp;RIGHT(AG418,4)&amp;"_"&amp;AL418</f>
        <v>5_S235_SL41061900_p1_2st__2050_</v>
      </c>
      <c r="AM418" t="s">
        <v>1673</v>
      </c>
      <c r="AZ418" s="64" t="s">
        <v>1595</v>
      </c>
      <c r="BA418" s="64" t="s">
        <v>1596</v>
      </c>
      <c r="BX418" t="s">
        <v>1691</v>
      </c>
      <c r="BY418">
        <v>5</v>
      </c>
      <c r="BZ418" t="s">
        <v>1692</v>
      </c>
      <c r="CA418" t="s">
        <v>1736</v>
      </c>
      <c r="CB418" t="s">
        <v>1895</v>
      </c>
      <c r="CG418">
        <v>5</v>
      </c>
      <c r="CH418" t="s">
        <v>1895</v>
      </c>
      <c r="CI418" t="s">
        <v>902</v>
      </c>
      <c r="CJ418" t="s">
        <v>1898</v>
      </c>
      <c r="CK418" t="s">
        <v>1922</v>
      </c>
      <c r="CL418" t="s">
        <v>1903</v>
      </c>
      <c r="CM418">
        <v>9184</v>
      </c>
      <c r="CN418" t="s">
        <v>1923</v>
      </c>
      <c r="CR418" t="s">
        <v>2029</v>
      </c>
    </row>
    <row r="419" spans="1:96" hidden="1">
      <c r="A419" s="29" t="s">
        <v>906</v>
      </c>
      <c r="B419" s="29" t="s">
        <v>83</v>
      </c>
      <c r="C419" s="30">
        <v>2</v>
      </c>
      <c r="D419" s="30" t="s">
        <v>907</v>
      </c>
      <c r="E419" s="30">
        <v>4</v>
      </c>
      <c r="F419" s="30"/>
      <c r="G419" s="30" t="s">
        <v>52</v>
      </c>
      <c r="H419" s="30"/>
      <c r="I419" s="30"/>
      <c r="J419" s="30"/>
      <c r="K419" s="30" t="s">
        <v>908</v>
      </c>
      <c r="L419" s="30" t="s">
        <v>907</v>
      </c>
      <c r="M419" s="30">
        <v>2</v>
      </c>
      <c r="N419" s="30"/>
      <c r="O419" s="23"/>
      <c r="P419" s="23"/>
      <c r="Q419" s="23"/>
      <c r="R419" s="23"/>
      <c r="S419" s="23" t="s">
        <v>64</v>
      </c>
      <c r="T419" s="23"/>
      <c r="U419" s="23" t="s">
        <v>54</v>
      </c>
      <c r="V419" s="23"/>
      <c r="W419" s="31">
        <v>2</v>
      </c>
      <c r="Y419" t="s">
        <v>40</v>
      </c>
      <c r="Z419" t="s">
        <v>53</v>
      </c>
      <c r="AA419" t="s">
        <v>51</v>
      </c>
      <c r="AB419" t="s">
        <v>894</v>
      </c>
      <c r="AC419" t="s">
        <v>1420</v>
      </c>
      <c r="AF419" t="s">
        <v>1437</v>
      </c>
      <c r="AG419" t="s">
        <v>58</v>
      </c>
      <c r="BX419" t="s">
        <v>908</v>
      </c>
    </row>
    <row r="420" spans="1:96" hidden="1">
      <c r="A420" s="32" t="s">
        <v>909</v>
      </c>
      <c r="B420" s="32" t="s">
        <v>220</v>
      </c>
      <c r="C420" s="23">
        <v>1</v>
      </c>
      <c r="D420" s="23">
        <v>8300</v>
      </c>
      <c r="E420" s="23">
        <v>4</v>
      </c>
      <c r="F420" s="23"/>
      <c r="G420" s="23" t="s">
        <v>89</v>
      </c>
      <c r="H420" s="23">
        <v>364.2</v>
      </c>
      <c r="I420" s="23" t="s">
        <v>85</v>
      </c>
      <c r="J420" s="23">
        <v>90</v>
      </c>
      <c r="K420" s="23" t="s">
        <v>166</v>
      </c>
      <c r="L420" s="23" t="s">
        <v>907</v>
      </c>
      <c r="M420" s="23"/>
      <c r="N420" s="23"/>
      <c r="O420" s="23"/>
      <c r="P420" s="23"/>
      <c r="Q420" s="23"/>
      <c r="R420" s="23"/>
      <c r="S420" s="23" t="s">
        <v>64</v>
      </c>
      <c r="T420" s="23"/>
      <c r="U420" s="23" t="s">
        <v>87</v>
      </c>
      <c r="V420" s="23"/>
      <c r="W420" s="33">
        <v>0</v>
      </c>
      <c r="Y420" t="s">
        <v>161</v>
      </c>
      <c r="Z420" t="s">
        <v>53</v>
      </c>
      <c r="AA420" t="s">
        <v>51</v>
      </c>
      <c r="AB420" t="s">
        <v>894</v>
      </c>
      <c r="AC420" t="s">
        <v>1420</v>
      </c>
      <c r="AF420" t="s">
        <v>1437</v>
      </c>
      <c r="AG420" t="s">
        <v>58</v>
      </c>
      <c r="AI420" t="str">
        <f>BY420&amp;"_"&amp;CB420&amp;"_"&amp;L420&amp;"_p"&amp;C420&amp;"_"&amp;E420&amp;"st_"&amp;AK420&amp;"_"&amp;RIGHT(AG420,4)&amp;"_"&amp;AL420</f>
        <v>8_S235_SL41061214_p1_4st__2050_</v>
      </c>
      <c r="AM420" t="s">
        <v>1673</v>
      </c>
      <c r="AZ420" s="64" t="s">
        <v>1597</v>
      </c>
      <c r="BA420" s="64" t="s">
        <v>1598</v>
      </c>
      <c r="BX420" t="s">
        <v>1691</v>
      </c>
      <c r="BY420">
        <v>8</v>
      </c>
      <c r="BZ420" t="s">
        <v>1692</v>
      </c>
      <c r="CA420" t="s">
        <v>1736</v>
      </c>
      <c r="CB420" t="s">
        <v>1895</v>
      </c>
      <c r="CG420">
        <v>8</v>
      </c>
      <c r="CH420" t="s">
        <v>1895</v>
      </c>
      <c r="CI420" t="s">
        <v>907</v>
      </c>
      <c r="CJ420" t="s">
        <v>1898</v>
      </c>
      <c r="CK420" t="s">
        <v>1924</v>
      </c>
      <c r="CL420" t="s">
        <v>1903</v>
      </c>
      <c r="CM420">
        <v>9184</v>
      </c>
      <c r="CR420" t="s">
        <v>2030</v>
      </c>
    </row>
    <row r="421" spans="1:96" hidden="1">
      <c r="A421" s="29" t="s">
        <v>910</v>
      </c>
      <c r="B421" s="29" t="s">
        <v>83</v>
      </c>
      <c r="C421" s="30">
        <v>3</v>
      </c>
      <c r="D421" s="30" t="s">
        <v>911</v>
      </c>
      <c r="E421" s="30">
        <v>4</v>
      </c>
      <c r="F421" s="30"/>
      <c r="G421" s="30" t="s">
        <v>52</v>
      </c>
      <c r="H421" s="30"/>
      <c r="I421" s="30"/>
      <c r="J421" s="30"/>
      <c r="K421" s="30" t="s">
        <v>912</v>
      </c>
      <c r="L421" s="30" t="s">
        <v>911</v>
      </c>
      <c r="M421" s="30">
        <v>4</v>
      </c>
      <c r="N421" s="30"/>
      <c r="O421" s="23"/>
      <c r="P421" s="23"/>
      <c r="Q421" s="23"/>
      <c r="R421" s="23"/>
      <c r="S421" s="23" t="s">
        <v>64</v>
      </c>
      <c r="T421" s="23"/>
      <c r="U421" s="23" t="s">
        <v>54</v>
      </c>
      <c r="V421" s="23"/>
      <c r="W421" s="31">
        <v>0.56000000000000005</v>
      </c>
      <c r="Y421" t="s">
        <v>40</v>
      </c>
      <c r="Z421" t="s">
        <v>53</v>
      </c>
      <c r="AA421" t="s">
        <v>51</v>
      </c>
      <c r="AB421" t="s">
        <v>894</v>
      </c>
      <c r="AC421" t="s">
        <v>1420</v>
      </c>
      <c r="AF421" t="s">
        <v>1437</v>
      </c>
      <c r="AG421" t="s">
        <v>58</v>
      </c>
      <c r="BX421" t="s">
        <v>912</v>
      </c>
    </row>
    <row r="422" spans="1:96" hidden="1">
      <c r="A422" s="32" t="s">
        <v>913</v>
      </c>
      <c r="B422" s="32" t="s">
        <v>220</v>
      </c>
      <c r="C422" s="23">
        <v>1</v>
      </c>
      <c r="D422" s="23">
        <v>1700</v>
      </c>
      <c r="E422" s="23">
        <v>4</v>
      </c>
      <c r="F422" s="23"/>
      <c r="G422" s="23" t="s">
        <v>89</v>
      </c>
      <c r="H422" s="23">
        <v>282.39999999999998</v>
      </c>
      <c r="I422" s="23" t="s">
        <v>85</v>
      </c>
      <c r="J422" s="23">
        <v>50</v>
      </c>
      <c r="K422" s="23" t="s">
        <v>430</v>
      </c>
      <c r="L422" s="23" t="s">
        <v>911</v>
      </c>
      <c r="M422" s="23"/>
      <c r="N422" s="23"/>
      <c r="O422" s="23"/>
      <c r="P422" s="23"/>
      <c r="Q422" s="23"/>
      <c r="R422" s="23"/>
      <c r="S422" s="23" t="s">
        <v>64</v>
      </c>
      <c r="T422" s="23"/>
      <c r="U422" s="23" t="s">
        <v>87</v>
      </c>
      <c r="V422" s="23"/>
      <c r="W422" s="33">
        <v>0</v>
      </c>
      <c r="Y422" t="s">
        <v>161</v>
      </c>
      <c r="Z422" t="s">
        <v>53</v>
      </c>
      <c r="AA422" t="s">
        <v>51</v>
      </c>
      <c r="AB422" t="s">
        <v>894</v>
      </c>
      <c r="AC422" t="s">
        <v>1420</v>
      </c>
      <c r="AF422" t="s">
        <v>1437</v>
      </c>
      <c r="AG422" t="s">
        <v>58</v>
      </c>
      <c r="AI422" t="str">
        <f>BY422&amp;"_"&amp;CB422&amp;"_"&amp;L422&amp;"_p"&amp;C422&amp;"_"&amp;E422&amp;"st_"&amp;AK422&amp;"_"&amp;RIGHT(AG422,4)&amp;"_"&amp;AL422</f>
        <v>5_S235_SL41061215_p1_4st__2050_</v>
      </c>
      <c r="AM422" t="s">
        <v>1673</v>
      </c>
      <c r="AZ422" s="64" t="s">
        <v>1599</v>
      </c>
      <c r="BA422" s="64" t="s">
        <v>1600</v>
      </c>
      <c r="BX422" t="s">
        <v>1691</v>
      </c>
      <c r="BY422">
        <v>5</v>
      </c>
      <c r="BZ422" t="s">
        <v>1692</v>
      </c>
      <c r="CA422" t="s">
        <v>1736</v>
      </c>
      <c r="CB422" t="s">
        <v>1895</v>
      </c>
      <c r="CG422">
        <v>5</v>
      </c>
      <c r="CH422" t="s">
        <v>1895</v>
      </c>
      <c r="CI422" t="s">
        <v>911</v>
      </c>
      <c r="CJ422" t="s">
        <v>1898</v>
      </c>
      <c r="CK422" t="s">
        <v>1925</v>
      </c>
      <c r="CL422" t="s">
        <v>1903</v>
      </c>
      <c r="CM422">
        <v>9184</v>
      </c>
      <c r="CN422" t="s">
        <v>1923</v>
      </c>
      <c r="CR422" t="s">
        <v>2031</v>
      </c>
    </row>
    <row r="423" spans="1:96" hidden="1">
      <c r="A423" s="29" t="s">
        <v>914</v>
      </c>
      <c r="B423" s="29" t="s">
        <v>83</v>
      </c>
      <c r="C423" s="30">
        <v>4</v>
      </c>
      <c r="D423" s="30" t="s">
        <v>915</v>
      </c>
      <c r="E423" s="30">
        <v>4</v>
      </c>
      <c r="F423" s="30"/>
      <c r="G423" s="30" t="s">
        <v>52</v>
      </c>
      <c r="H423" s="30"/>
      <c r="I423" s="30"/>
      <c r="J423" s="30"/>
      <c r="K423" s="30" t="s">
        <v>916</v>
      </c>
      <c r="L423" s="30" t="s">
        <v>915</v>
      </c>
      <c r="M423" s="30">
        <v>4</v>
      </c>
      <c r="N423" s="30"/>
      <c r="O423" s="23"/>
      <c r="P423" s="23"/>
      <c r="Q423" s="23"/>
      <c r="R423" s="23"/>
      <c r="S423" s="23" t="s">
        <v>64</v>
      </c>
      <c r="T423" s="23"/>
      <c r="U423" s="23" t="s">
        <v>54</v>
      </c>
      <c r="V423" s="23"/>
      <c r="W423" s="31">
        <v>0.5</v>
      </c>
      <c r="Y423" t="s">
        <v>40</v>
      </c>
      <c r="Z423" t="s">
        <v>53</v>
      </c>
      <c r="AA423" t="s">
        <v>51</v>
      </c>
      <c r="AB423" t="s">
        <v>894</v>
      </c>
      <c r="AC423" t="s">
        <v>1420</v>
      </c>
      <c r="AF423" t="s">
        <v>1437</v>
      </c>
      <c r="AG423" t="s">
        <v>58</v>
      </c>
      <c r="BX423" t="s">
        <v>916</v>
      </c>
    </row>
    <row r="424" spans="1:96" hidden="1">
      <c r="A424" s="32" t="s">
        <v>917</v>
      </c>
      <c r="B424" s="32" t="s">
        <v>220</v>
      </c>
      <c r="C424" s="23">
        <v>1</v>
      </c>
      <c r="D424" s="23">
        <v>1700</v>
      </c>
      <c r="E424" s="23">
        <v>4</v>
      </c>
      <c r="F424" s="23"/>
      <c r="G424" s="23" t="s">
        <v>89</v>
      </c>
      <c r="H424" s="23">
        <v>276.3</v>
      </c>
      <c r="I424" s="23" t="s">
        <v>85</v>
      </c>
      <c r="J424" s="23">
        <v>50</v>
      </c>
      <c r="K424" s="23" t="s">
        <v>430</v>
      </c>
      <c r="L424" s="23" t="s">
        <v>915</v>
      </c>
      <c r="M424" s="23"/>
      <c r="N424" s="23"/>
      <c r="O424" s="23"/>
      <c r="P424" s="23"/>
      <c r="Q424" s="23"/>
      <c r="R424" s="23"/>
      <c r="S424" s="23" t="s">
        <v>64</v>
      </c>
      <c r="T424" s="23"/>
      <c r="U424" s="23" t="s">
        <v>87</v>
      </c>
      <c r="V424" s="23"/>
      <c r="W424" s="33">
        <v>0</v>
      </c>
      <c r="Y424" t="s">
        <v>161</v>
      </c>
      <c r="Z424" t="s">
        <v>53</v>
      </c>
      <c r="AA424" t="s">
        <v>51</v>
      </c>
      <c r="AB424" t="s">
        <v>894</v>
      </c>
      <c r="AC424" t="s">
        <v>1420</v>
      </c>
      <c r="AF424" t="s">
        <v>1437</v>
      </c>
      <c r="AG424" t="s">
        <v>58</v>
      </c>
      <c r="AI424" t="str">
        <f>BY424&amp;"_"&amp;CB424&amp;"_"&amp;L424&amp;"_p"&amp;C424&amp;"_"&amp;E424&amp;"st_"&amp;AK424&amp;"_"&amp;RIGHT(AG424,4)&amp;"_"&amp;AL424</f>
        <v>5_S235_SL40061200_p1_4st__2050_</v>
      </c>
      <c r="AM424" t="s">
        <v>1673</v>
      </c>
      <c r="AZ424" s="64" t="s">
        <v>1601</v>
      </c>
      <c r="BA424" s="64" t="s">
        <v>1602</v>
      </c>
      <c r="BX424" t="s">
        <v>1691</v>
      </c>
      <c r="BY424">
        <v>5</v>
      </c>
      <c r="BZ424" t="s">
        <v>1692</v>
      </c>
      <c r="CA424" t="s">
        <v>1736</v>
      </c>
      <c r="CB424" t="s">
        <v>1895</v>
      </c>
      <c r="CG424">
        <v>5</v>
      </c>
      <c r="CH424" t="s">
        <v>1895</v>
      </c>
      <c r="CI424" t="s">
        <v>915</v>
      </c>
      <c r="CJ424" t="s">
        <v>1898</v>
      </c>
      <c r="CK424" t="s">
        <v>1924</v>
      </c>
      <c r="CL424" t="s">
        <v>1903</v>
      </c>
      <c r="CM424">
        <v>9184</v>
      </c>
      <c r="CR424" t="s">
        <v>2032</v>
      </c>
    </row>
    <row r="425" spans="1:96" hidden="1">
      <c r="A425" s="32" t="s">
        <v>918</v>
      </c>
      <c r="B425" s="32" t="s">
        <v>79</v>
      </c>
      <c r="C425" s="23">
        <v>101</v>
      </c>
      <c r="D425" s="23">
        <v>1251700</v>
      </c>
      <c r="E425" s="23">
        <v>4</v>
      </c>
      <c r="F425" s="23"/>
      <c r="G425" s="23" t="s">
        <v>52</v>
      </c>
      <c r="H425" s="23" t="s">
        <v>919</v>
      </c>
      <c r="I425" s="23"/>
      <c r="J425" s="23"/>
      <c r="K425" s="23" t="s">
        <v>920</v>
      </c>
      <c r="L425" s="23" t="s">
        <v>915</v>
      </c>
      <c r="M425" s="23"/>
      <c r="N425" s="23"/>
      <c r="O425" s="23"/>
      <c r="P425" s="23"/>
      <c r="Q425" s="23"/>
      <c r="R425" s="23"/>
      <c r="S425" s="23" t="s">
        <v>64</v>
      </c>
      <c r="T425" s="23"/>
      <c r="U425" s="23" t="s">
        <v>17</v>
      </c>
      <c r="V425" s="23"/>
      <c r="W425" s="33">
        <v>9.7000000000000003E-2</v>
      </c>
      <c r="Y425" t="s">
        <v>124</v>
      </c>
      <c r="Z425" t="s">
        <v>53</v>
      </c>
      <c r="AA425" t="s">
        <v>51</v>
      </c>
      <c r="AB425" t="s">
        <v>894</v>
      </c>
      <c r="AF425" t="s">
        <v>1437</v>
      </c>
      <c r="AG425" t="s">
        <v>58</v>
      </c>
      <c r="BX425" t="s">
        <v>1713</v>
      </c>
      <c r="BY425" t="s">
        <v>1817</v>
      </c>
      <c r="BZ425" t="s">
        <v>1714</v>
      </c>
      <c r="CA425" s="76">
        <v>46242</v>
      </c>
      <c r="CB425" t="s">
        <v>1715</v>
      </c>
      <c r="CC425" t="s">
        <v>1716</v>
      </c>
    </row>
    <row r="426" spans="1:96" hidden="1">
      <c r="A426" s="32" t="s">
        <v>921</v>
      </c>
      <c r="B426" s="32" t="s">
        <v>79</v>
      </c>
      <c r="C426" s="23">
        <v>102</v>
      </c>
      <c r="D426" s="23">
        <v>28506600</v>
      </c>
      <c r="E426" s="23">
        <v>4</v>
      </c>
      <c r="F426" s="23"/>
      <c r="G426" s="23" t="s">
        <v>52</v>
      </c>
      <c r="H426" s="23" t="s">
        <v>357</v>
      </c>
      <c r="I426" s="23"/>
      <c r="J426" s="23"/>
      <c r="K426" s="23" t="s">
        <v>358</v>
      </c>
      <c r="L426" s="23" t="s">
        <v>915</v>
      </c>
      <c r="M426" s="23"/>
      <c r="N426" s="23"/>
      <c r="O426" s="23"/>
      <c r="P426" s="23"/>
      <c r="Q426" s="23"/>
      <c r="R426" s="23"/>
      <c r="S426" s="23" t="s">
        <v>64</v>
      </c>
      <c r="T426" s="23"/>
      <c r="U426" s="23" t="s">
        <v>17</v>
      </c>
      <c r="V426" s="23"/>
      <c r="W426" s="33">
        <v>3.3000000000000002E-2</v>
      </c>
      <c r="Y426" t="s">
        <v>124</v>
      </c>
      <c r="Z426" t="s">
        <v>53</v>
      </c>
      <c r="AA426" t="s">
        <v>51</v>
      </c>
      <c r="AB426" t="s">
        <v>894</v>
      </c>
      <c r="AF426" t="s">
        <v>1437</v>
      </c>
      <c r="AG426" t="s">
        <v>58</v>
      </c>
      <c r="BX426" t="s">
        <v>1717</v>
      </c>
      <c r="BY426" t="s">
        <v>357</v>
      </c>
      <c r="BZ426" t="s">
        <v>1718</v>
      </c>
      <c r="CA426">
        <v>8</v>
      </c>
      <c r="CB426" t="s">
        <v>1715</v>
      </c>
      <c r="CC426" t="s">
        <v>1716</v>
      </c>
    </row>
    <row r="427" spans="1:96" hidden="1">
      <c r="A427" s="32" t="s">
        <v>922</v>
      </c>
      <c r="B427" s="32" t="s">
        <v>79</v>
      </c>
      <c r="C427" s="23">
        <v>103</v>
      </c>
      <c r="D427" s="23">
        <v>5289600</v>
      </c>
      <c r="E427" s="23">
        <v>8</v>
      </c>
      <c r="F427" s="23"/>
      <c r="G427" s="23" t="s">
        <v>52</v>
      </c>
      <c r="H427" s="23"/>
      <c r="I427" s="23"/>
      <c r="J427" s="23"/>
      <c r="K427" s="23" t="s">
        <v>923</v>
      </c>
      <c r="L427" s="23" t="s">
        <v>915</v>
      </c>
      <c r="M427" s="23"/>
      <c r="N427" s="23"/>
      <c r="O427" s="23"/>
      <c r="P427" s="23"/>
      <c r="Q427" s="23"/>
      <c r="R427" s="23"/>
      <c r="S427" s="23" t="s">
        <v>64</v>
      </c>
      <c r="T427" s="23"/>
      <c r="U427" s="23" t="s">
        <v>17</v>
      </c>
      <c r="V427" s="23"/>
      <c r="W427" s="33">
        <v>1.0999999999999999E-2</v>
      </c>
      <c r="Y427" t="s">
        <v>124</v>
      </c>
      <c r="Z427" t="s">
        <v>53</v>
      </c>
      <c r="AA427" t="s">
        <v>51</v>
      </c>
      <c r="AB427" t="s">
        <v>894</v>
      </c>
      <c r="AF427" t="s">
        <v>1437</v>
      </c>
      <c r="AG427" t="s">
        <v>58</v>
      </c>
      <c r="BX427" t="s">
        <v>1719</v>
      </c>
      <c r="BY427">
        <v>17</v>
      </c>
      <c r="BZ427" t="s">
        <v>1818</v>
      </c>
      <c r="CA427" t="s">
        <v>1734</v>
      </c>
    </row>
    <row r="428" spans="1:96" hidden="1">
      <c r="A428" s="29" t="s">
        <v>924</v>
      </c>
      <c r="B428" s="29" t="s">
        <v>74</v>
      </c>
      <c r="C428" s="30">
        <v>2</v>
      </c>
      <c r="D428" s="30" t="s">
        <v>925</v>
      </c>
      <c r="E428" s="30">
        <v>2</v>
      </c>
      <c r="F428" s="30"/>
      <c r="G428" s="30" t="s">
        <v>52</v>
      </c>
      <c r="H428" s="30"/>
      <c r="I428" s="30"/>
      <c r="J428" s="30"/>
      <c r="K428" s="30" t="s">
        <v>926</v>
      </c>
      <c r="L428" s="30" t="s">
        <v>925</v>
      </c>
      <c r="M428" s="30">
        <v>2</v>
      </c>
      <c r="N428" s="30"/>
      <c r="O428" s="23"/>
      <c r="P428" s="23"/>
      <c r="Q428" s="23"/>
      <c r="R428" s="23"/>
      <c r="S428" s="23" t="s">
        <v>64</v>
      </c>
      <c r="T428" s="23"/>
      <c r="U428" s="23" t="s">
        <v>54</v>
      </c>
      <c r="V428" s="23"/>
      <c r="W428" s="31">
        <v>15.304</v>
      </c>
      <c r="Y428" t="s">
        <v>40</v>
      </c>
      <c r="Z428" t="s">
        <v>53</v>
      </c>
      <c r="AA428" t="s">
        <v>51</v>
      </c>
      <c r="AB428" t="s">
        <v>894</v>
      </c>
      <c r="AF428" t="s">
        <v>1437</v>
      </c>
      <c r="AG428" t="s">
        <v>58</v>
      </c>
      <c r="BX428" t="s">
        <v>926</v>
      </c>
    </row>
    <row r="429" spans="1:96" hidden="1">
      <c r="A429" s="29" t="s">
        <v>927</v>
      </c>
      <c r="B429" s="29" t="s">
        <v>79</v>
      </c>
      <c r="C429" s="30">
        <v>1</v>
      </c>
      <c r="D429" s="30" t="s">
        <v>928</v>
      </c>
      <c r="E429" s="30">
        <v>2</v>
      </c>
      <c r="F429" s="30"/>
      <c r="G429" s="30" t="s">
        <v>52</v>
      </c>
      <c r="H429" s="30"/>
      <c r="I429" s="30"/>
      <c r="J429" s="30"/>
      <c r="K429" s="30" t="s">
        <v>929</v>
      </c>
      <c r="L429" s="30" t="s">
        <v>928</v>
      </c>
      <c r="M429" s="30">
        <v>1</v>
      </c>
      <c r="N429" s="30"/>
      <c r="O429" s="23"/>
      <c r="P429" s="23"/>
      <c r="Q429" s="23"/>
      <c r="R429" s="23"/>
      <c r="S429" s="23" t="s">
        <v>64</v>
      </c>
      <c r="T429" s="23"/>
      <c r="U429" s="23" t="s">
        <v>54</v>
      </c>
      <c r="V429" s="23"/>
      <c r="W429" s="31">
        <v>15</v>
      </c>
      <c r="Y429" t="s">
        <v>40</v>
      </c>
      <c r="Z429" t="s">
        <v>53</v>
      </c>
      <c r="AA429" t="s">
        <v>51</v>
      </c>
      <c r="AB429" t="s">
        <v>894</v>
      </c>
      <c r="AC429" t="s">
        <v>1420</v>
      </c>
      <c r="AF429" t="s">
        <v>1437</v>
      </c>
      <c r="AG429" t="s">
        <v>58</v>
      </c>
      <c r="BX429" t="s">
        <v>929</v>
      </c>
    </row>
    <row r="430" spans="1:96" hidden="1">
      <c r="A430" s="29" t="s">
        <v>930</v>
      </c>
      <c r="B430" s="29" t="s">
        <v>83</v>
      </c>
      <c r="C430" s="30">
        <v>1</v>
      </c>
      <c r="D430" s="30" t="s">
        <v>902</v>
      </c>
      <c r="E430" s="30">
        <v>2</v>
      </c>
      <c r="F430" s="30"/>
      <c r="G430" s="30" t="s">
        <v>52</v>
      </c>
      <c r="H430" s="30"/>
      <c r="I430" s="30"/>
      <c r="J430" s="30"/>
      <c r="K430" s="30" t="s">
        <v>903</v>
      </c>
      <c r="L430" s="30" t="s">
        <v>902</v>
      </c>
      <c r="M430" s="30">
        <v>1</v>
      </c>
      <c r="N430" s="30"/>
      <c r="O430" s="23"/>
      <c r="P430" s="23"/>
      <c r="Q430" s="23"/>
      <c r="R430" s="23"/>
      <c r="S430" s="23" t="s">
        <v>64</v>
      </c>
      <c r="T430" s="23"/>
      <c r="U430" s="23" t="s">
        <v>54</v>
      </c>
      <c r="V430" s="23"/>
      <c r="W430" s="31">
        <v>8.3000000000000007</v>
      </c>
      <c r="Y430" t="s">
        <v>40</v>
      </c>
      <c r="Z430" t="s">
        <v>53</v>
      </c>
      <c r="AA430" t="s">
        <v>51</v>
      </c>
      <c r="AB430" t="s">
        <v>894</v>
      </c>
      <c r="AC430" t="s">
        <v>1420</v>
      </c>
      <c r="AF430" t="s">
        <v>1437</v>
      </c>
      <c r="AG430" t="s">
        <v>58</v>
      </c>
      <c r="BX430" t="s">
        <v>903</v>
      </c>
    </row>
    <row r="431" spans="1:96" hidden="1">
      <c r="A431" s="32" t="s">
        <v>931</v>
      </c>
      <c r="B431" s="32" t="s">
        <v>220</v>
      </c>
      <c r="C431" s="23">
        <v>1</v>
      </c>
      <c r="D431" s="23">
        <v>1700</v>
      </c>
      <c r="E431" s="23">
        <v>2</v>
      </c>
      <c r="F431" s="23"/>
      <c r="G431" s="23" t="s">
        <v>89</v>
      </c>
      <c r="H431" s="23" t="s">
        <v>905</v>
      </c>
      <c r="I431" s="23" t="s">
        <v>85</v>
      </c>
      <c r="J431" s="23">
        <v>171.7</v>
      </c>
      <c r="K431" s="23" t="s">
        <v>430</v>
      </c>
      <c r="L431" s="23" t="s">
        <v>902</v>
      </c>
      <c r="M431" s="23"/>
      <c r="N431" s="23"/>
      <c r="O431" s="23"/>
      <c r="P431" s="23"/>
      <c r="Q431" s="23"/>
      <c r="R431" s="23"/>
      <c r="S431" s="23" t="s">
        <v>64</v>
      </c>
      <c r="T431" s="23"/>
      <c r="U431" s="23" t="s">
        <v>87</v>
      </c>
      <c r="V431" s="23"/>
      <c r="W431" s="33">
        <v>0</v>
      </c>
      <c r="Y431" t="s">
        <v>161</v>
      </c>
      <c r="Z431" t="s">
        <v>53</v>
      </c>
      <c r="AA431" t="s">
        <v>51</v>
      </c>
      <c r="AB431" t="s">
        <v>894</v>
      </c>
      <c r="AC431" t="s">
        <v>1420</v>
      </c>
      <c r="AF431" t="s">
        <v>1437</v>
      </c>
      <c r="AG431" t="s">
        <v>58</v>
      </c>
      <c r="AI431" t="str">
        <f>BY431&amp;"_"&amp;CB431&amp;"_"&amp;L431&amp;"_p"&amp;C431&amp;"_"&amp;E431&amp;"st_"&amp;AK431&amp;"_"&amp;RIGHT(AG431,4)&amp;"_"&amp;AL431</f>
        <v>5_S235_SL41061900_p1_2st__2050_</v>
      </c>
      <c r="AM431" t="s">
        <v>1673</v>
      </c>
      <c r="AZ431" s="64" t="s">
        <v>1595</v>
      </c>
      <c r="BA431" s="64" t="s">
        <v>1596</v>
      </c>
      <c r="BX431" t="s">
        <v>1691</v>
      </c>
      <c r="BY431">
        <v>5</v>
      </c>
      <c r="BZ431" t="s">
        <v>1692</v>
      </c>
      <c r="CA431" t="s">
        <v>1736</v>
      </c>
      <c r="CB431" t="s">
        <v>1895</v>
      </c>
      <c r="CG431">
        <v>5</v>
      </c>
      <c r="CH431" t="s">
        <v>1895</v>
      </c>
      <c r="CI431" t="s">
        <v>902</v>
      </c>
      <c r="CJ431" t="s">
        <v>1898</v>
      </c>
      <c r="CK431" t="s">
        <v>1922</v>
      </c>
      <c r="CL431" t="s">
        <v>1903</v>
      </c>
      <c r="CM431">
        <v>9184</v>
      </c>
      <c r="CN431" t="s">
        <v>1923</v>
      </c>
      <c r="CR431" t="s">
        <v>2029</v>
      </c>
    </row>
    <row r="432" spans="1:96" hidden="1">
      <c r="A432" s="29" t="s">
        <v>932</v>
      </c>
      <c r="B432" s="29" t="s">
        <v>83</v>
      </c>
      <c r="C432" s="30">
        <v>2</v>
      </c>
      <c r="D432" s="30" t="s">
        <v>933</v>
      </c>
      <c r="E432" s="30">
        <v>4</v>
      </c>
      <c r="F432" s="30"/>
      <c r="G432" s="30" t="s">
        <v>52</v>
      </c>
      <c r="H432" s="30"/>
      <c r="I432" s="30"/>
      <c r="J432" s="30"/>
      <c r="K432" s="30" t="s">
        <v>934</v>
      </c>
      <c r="L432" s="30" t="s">
        <v>933</v>
      </c>
      <c r="M432" s="30">
        <v>2</v>
      </c>
      <c r="N432" s="30"/>
      <c r="O432" s="23"/>
      <c r="P432" s="23"/>
      <c r="Q432" s="23"/>
      <c r="R432" s="23"/>
      <c r="S432" s="23" t="s">
        <v>64</v>
      </c>
      <c r="T432" s="23"/>
      <c r="U432" s="23" t="s">
        <v>54</v>
      </c>
      <c r="V432" s="23"/>
      <c r="W432" s="31">
        <v>2.2000000000000002</v>
      </c>
      <c r="Y432" t="s">
        <v>40</v>
      </c>
      <c r="Z432" t="s">
        <v>53</v>
      </c>
      <c r="AA432" t="s">
        <v>51</v>
      </c>
      <c r="AB432" t="s">
        <v>894</v>
      </c>
      <c r="AC432" t="s">
        <v>1420</v>
      </c>
      <c r="AF432" t="s">
        <v>1437</v>
      </c>
      <c r="AG432" t="s">
        <v>58</v>
      </c>
      <c r="BX432" t="s">
        <v>934</v>
      </c>
    </row>
    <row r="433" spans="1:98" hidden="1">
      <c r="A433" s="32" t="s">
        <v>935</v>
      </c>
      <c r="B433" s="32" t="s">
        <v>220</v>
      </c>
      <c r="C433" s="23">
        <v>1</v>
      </c>
      <c r="D433" s="23">
        <v>8300</v>
      </c>
      <c r="E433" s="23">
        <v>4</v>
      </c>
      <c r="F433" s="23"/>
      <c r="G433" s="23" t="s">
        <v>89</v>
      </c>
      <c r="H433" s="23">
        <v>436.6</v>
      </c>
      <c r="I433" s="23" t="s">
        <v>85</v>
      </c>
      <c r="J433" s="23">
        <v>90</v>
      </c>
      <c r="K433" s="23" t="s">
        <v>166</v>
      </c>
      <c r="L433" s="23" t="s">
        <v>933</v>
      </c>
      <c r="M433" s="23"/>
      <c r="N433" s="23"/>
      <c r="O433" s="23"/>
      <c r="P433" s="23"/>
      <c r="Q433" s="23"/>
      <c r="R433" s="23"/>
      <c r="S433" s="23" t="s">
        <v>64</v>
      </c>
      <c r="T433" s="23"/>
      <c r="U433" s="23" t="s">
        <v>87</v>
      </c>
      <c r="V433" s="23"/>
      <c r="W433" s="33">
        <v>0</v>
      </c>
      <c r="Y433" t="s">
        <v>161</v>
      </c>
      <c r="Z433" t="s">
        <v>53</v>
      </c>
      <c r="AA433" t="s">
        <v>51</v>
      </c>
      <c r="AB433" t="s">
        <v>894</v>
      </c>
      <c r="AC433" t="s">
        <v>1420</v>
      </c>
      <c r="AF433" t="s">
        <v>1437</v>
      </c>
      <c r="AG433" t="s">
        <v>58</v>
      </c>
      <c r="AI433" t="str">
        <f>BY433&amp;"_"&amp;CB433&amp;"_"&amp;L433&amp;"_p"&amp;C433&amp;"_"&amp;E433&amp;"st_"&amp;AK433&amp;"_"&amp;RIGHT(AG433,4)&amp;"_"&amp;AL433</f>
        <v>8_S235_SL41061318_p1_4st__2050_</v>
      </c>
      <c r="AM433" t="s">
        <v>1673</v>
      </c>
      <c r="AZ433" s="64" t="s">
        <v>1603</v>
      </c>
      <c r="BA433" s="64" t="s">
        <v>1604</v>
      </c>
      <c r="BX433" t="s">
        <v>1691</v>
      </c>
      <c r="BY433">
        <v>8</v>
      </c>
      <c r="BZ433" t="s">
        <v>1692</v>
      </c>
      <c r="CA433" t="s">
        <v>1736</v>
      </c>
      <c r="CB433" t="s">
        <v>1895</v>
      </c>
      <c r="CG433">
        <v>8</v>
      </c>
      <c r="CH433" t="s">
        <v>1895</v>
      </c>
      <c r="CI433" t="s">
        <v>933</v>
      </c>
      <c r="CJ433" t="s">
        <v>1898</v>
      </c>
      <c r="CK433" t="s">
        <v>1926</v>
      </c>
      <c r="CL433" t="s">
        <v>1903</v>
      </c>
      <c r="CM433">
        <v>3614</v>
      </c>
      <c r="CR433" t="s">
        <v>2033</v>
      </c>
    </row>
    <row r="434" spans="1:98" hidden="1">
      <c r="A434" s="29" t="s">
        <v>936</v>
      </c>
      <c r="B434" s="29" t="s">
        <v>83</v>
      </c>
      <c r="C434" s="30">
        <v>3</v>
      </c>
      <c r="D434" s="30" t="s">
        <v>937</v>
      </c>
      <c r="E434" s="30">
        <v>4</v>
      </c>
      <c r="F434" s="30"/>
      <c r="G434" s="30" t="s">
        <v>52</v>
      </c>
      <c r="H434" s="30"/>
      <c r="I434" s="30"/>
      <c r="J434" s="30"/>
      <c r="K434" s="30" t="s">
        <v>938</v>
      </c>
      <c r="L434" s="30" t="s">
        <v>937</v>
      </c>
      <c r="M434" s="30">
        <v>4</v>
      </c>
      <c r="N434" s="30"/>
      <c r="O434" s="23"/>
      <c r="P434" s="23"/>
      <c r="Q434" s="23"/>
      <c r="R434" s="23"/>
      <c r="S434" s="23" t="s">
        <v>64</v>
      </c>
      <c r="T434" s="23"/>
      <c r="U434" s="23" t="s">
        <v>54</v>
      </c>
      <c r="V434" s="23"/>
      <c r="W434" s="31">
        <v>0.62</v>
      </c>
      <c r="Y434" t="s">
        <v>40</v>
      </c>
      <c r="Z434" t="s">
        <v>53</v>
      </c>
      <c r="AA434" t="s">
        <v>51</v>
      </c>
      <c r="AB434" t="s">
        <v>894</v>
      </c>
      <c r="AC434" t="s">
        <v>1420</v>
      </c>
      <c r="AF434" t="s">
        <v>1437</v>
      </c>
      <c r="AG434" t="s">
        <v>58</v>
      </c>
      <c r="BX434" t="s">
        <v>938</v>
      </c>
    </row>
    <row r="435" spans="1:98" hidden="1">
      <c r="A435" s="32" t="s">
        <v>939</v>
      </c>
      <c r="B435" s="32" t="s">
        <v>220</v>
      </c>
      <c r="C435" s="23">
        <v>1</v>
      </c>
      <c r="D435" s="23">
        <v>1700</v>
      </c>
      <c r="E435" s="23">
        <v>4</v>
      </c>
      <c r="F435" s="23"/>
      <c r="G435" s="23" t="s">
        <v>89</v>
      </c>
      <c r="H435" s="23">
        <v>313.3</v>
      </c>
      <c r="I435" s="23" t="s">
        <v>85</v>
      </c>
      <c r="J435" s="23">
        <v>50</v>
      </c>
      <c r="K435" s="23" t="s">
        <v>430</v>
      </c>
      <c r="L435" s="23" t="s">
        <v>937</v>
      </c>
      <c r="M435" s="23"/>
      <c r="N435" s="23"/>
      <c r="O435" s="23"/>
      <c r="P435" s="23"/>
      <c r="Q435" s="23"/>
      <c r="R435" s="23"/>
      <c r="S435" s="23" t="s">
        <v>64</v>
      </c>
      <c r="T435" s="23"/>
      <c r="U435" s="23" t="s">
        <v>87</v>
      </c>
      <c r="V435" s="23"/>
      <c r="W435" s="33">
        <v>0</v>
      </c>
      <c r="Y435" t="s">
        <v>161</v>
      </c>
      <c r="Z435" t="s">
        <v>53</v>
      </c>
      <c r="AA435" t="s">
        <v>51</v>
      </c>
      <c r="AB435" t="s">
        <v>894</v>
      </c>
      <c r="AC435" t="s">
        <v>1420</v>
      </c>
      <c r="AF435" t="s">
        <v>1437</v>
      </c>
      <c r="AG435" t="s">
        <v>58</v>
      </c>
      <c r="AI435" t="str">
        <f>BY435&amp;"_"&amp;CB435&amp;"_"&amp;L435&amp;"_p"&amp;C435&amp;"_"&amp;E435&amp;"st_"&amp;AK435&amp;"_"&amp;RIGHT(AG435,4)&amp;"_"&amp;AL435</f>
        <v>5_S235_SL41061319_p1_4st__2050_</v>
      </c>
      <c r="AM435" t="s">
        <v>1673</v>
      </c>
      <c r="AZ435" s="64" t="s">
        <v>1605</v>
      </c>
      <c r="BA435" s="64" t="s">
        <v>1606</v>
      </c>
      <c r="BX435" t="s">
        <v>1691</v>
      </c>
      <c r="BY435">
        <v>5</v>
      </c>
      <c r="BZ435" t="s">
        <v>1692</v>
      </c>
      <c r="CA435" t="s">
        <v>1736</v>
      </c>
      <c r="CB435" t="s">
        <v>1895</v>
      </c>
      <c r="CG435">
        <v>5</v>
      </c>
      <c r="CH435" t="s">
        <v>1895</v>
      </c>
      <c r="CI435" t="s">
        <v>937</v>
      </c>
      <c r="CJ435" t="s">
        <v>1898</v>
      </c>
      <c r="CK435" t="s">
        <v>1926</v>
      </c>
      <c r="CL435" t="s">
        <v>1903</v>
      </c>
      <c r="CM435">
        <v>3614</v>
      </c>
      <c r="CR435" t="s">
        <v>2034</v>
      </c>
    </row>
    <row r="436" spans="1:98" hidden="1">
      <c r="A436" s="29" t="s">
        <v>940</v>
      </c>
      <c r="B436" s="29" t="s">
        <v>83</v>
      </c>
      <c r="C436" s="30">
        <v>4</v>
      </c>
      <c r="D436" s="30" t="s">
        <v>941</v>
      </c>
      <c r="E436" s="30">
        <v>4</v>
      </c>
      <c r="F436" s="30"/>
      <c r="G436" s="30" t="s">
        <v>52</v>
      </c>
      <c r="H436" s="30"/>
      <c r="I436" s="30"/>
      <c r="J436" s="30"/>
      <c r="K436" s="30" t="s">
        <v>942</v>
      </c>
      <c r="L436" s="30" t="s">
        <v>941</v>
      </c>
      <c r="M436" s="30">
        <v>4</v>
      </c>
      <c r="N436" s="30"/>
      <c r="O436" s="23"/>
      <c r="P436" s="23"/>
      <c r="Q436" s="23"/>
      <c r="R436" s="23"/>
      <c r="S436" s="23" t="s">
        <v>64</v>
      </c>
      <c r="T436" s="23"/>
      <c r="U436" s="23" t="s">
        <v>54</v>
      </c>
      <c r="V436" s="23"/>
      <c r="W436" s="31">
        <v>0.53</v>
      </c>
      <c r="Y436" t="s">
        <v>40</v>
      </c>
      <c r="Z436" t="s">
        <v>53</v>
      </c>
      <c r="AA436" t="s">
        <v>51</v>
      </c>
      <c r="AB436" t="s">
        <v>894</v>
      </c>
      <c r="AC436" t="s">
        <v>1420</v>
      </c>
      <c r="AF436" t="s">
        <v>1437</v>
      </c>
      <c r="AG436" t="s">
        <v>58</v>
      </c>
      <c r="BX436" t="s">
        <v>942</v>
      </c>
    </row>
    <row r="437" spans="1:98" hidden="1">
      <c r="A437" s="32" t="s">
        <v>943</v>
      </c>
      <c r="B437" s="32" t="s">
        <v>220</v>
      </c>
      <c r="C437" s="23">
        <v>1</v>
      </c>
      <c r="D437" s="23">
        <v>1700</v>
      </c>
      <c r="E437" s="23">
        <v>4</v>
      </c>
      <c r="F437" s="23"/>
      <c r="G437" s="23" t="s">
        <v>89</v>
      </c>
      <c r="H437" s="23">
        <v>293.39999999999998</v>
      </c>
      <c r="I437" s="23" t="s">
        <v>85</v>
      </c>
      <c r="J437" s="23">
        <v>50</v>
      </c>
      <c r="K437" s="23" t="s">
        <v>430</v>
      </c>
      <c r="L437" s="23" t="s">
        <v>941</v>
      </c>
      <c r="M437" s="23"/>
      <c r="N437" s="23"/>
      <c r="O437" s="23"/>
      <c r="P437" s="23"/>
      <c r="Q437" s="23"/>
      <c r="R437" s="23"/>
      <c r="S437" s="23" t="s">
        <v>64</v>
      </c>
      <c r="T437" s="23"/>
      <c r="U437" s="23" t="s">
        <v>87</v>
      </c>
      <c r="V437" s="23"/>
      <c r="W437" s="33">
        <v>0</v>
      </c>
      <c r="Y437" t="s">
        <v>161</v>
      </c>
      <c r="Z437" t="s">
        <v>53</v>
      </c>
      <c r="AA437" t="s">
        <v>51</v>
      </c>
      <c r="AB437" t="s">
        <v>894</v>
      </c>
      <c r="AC437" t="s">
        <v>1420</v>
      </c>
      <c r="AF437" t="s">
        <v>1437</v>
      </c>
      <c r="AG437" t="s">
        <v>58</v>
      </c>
      <c r="AI437" t="str">
        <f>BY437&amp;"_"&amp;CB437&amp;"_"&amp;L437&amp;"_p"&amp;C437&amp;"_"&amp;E437&amp;"st_"&amp;AK437&amp;"_"&amp;RIGHT(AG437,4)&amp;"_"&amp;AL437</f>
        <v>5_S235_SL40061300_p1_4st__2050_</v>
      </c>
      <c r="AM437" t="s">
        <v>1673</v>
      </c>
      <c r="AZ437" s="64" t="s">
        <v>1607</v>
      </c>
      <c r="BA437" s="64" t="s">
        <v>1608</v>
      </c>
      <c r="BX437" t="s">
        <v>1691</v>
      </c>
      <c r="BY437">
        <v>5</v>
      </c>
      <c r="BZ437" t="s">
        <v>1692</v>
      </c>
      <c r="CA437" t="s">
        <v>1736</v>
      </c>
      <c r="CB437" t="s">
        <v>1895</v>
      </c>
      <c r="CG437">
        <v>5</v>
      </c>
      <c r="CH437" t="s">
        <v>1895</v>
      </c>
      <c r="CI437" t="s">
        <v>941</v>
      </c>
      <c r="CJ437" t="s">
        <v>1898</v>
      </c>
      <c r="CK437" t="s">
        <v>1926</v>
      </c>
      <c r="CL437" t="s">
        <v>1903</v>
      </c>
      <c r="CM437">
        <v>3614</v>
      </c>
      <c r="CR437" t="s">
        <v>2035</v>
      </c>
    </row>
    <row r="438" spans="1:98" hidden="1">
      <c r="A438" s="32" t="s">
        <v>944</v>
      </c>
      <c r="B438" s="32" t="s">
        <v>79</v>
      </c>
      <c r="C438" s="23">
        <v>101</v>
      </c>
      <c r="D438" s="23">
        <v>1251700</v>
      </c>
      <c r="E438" s="23">
        <v>4</v>
      </c>
      <c r="F438" s="23"/>
      <c r="G438" s="23" t="s">
        <v>52</v>
      </c>
      <c r="H438" s="23" t="s">
        <v>919</v>
      </c>
      <c r="I438" s="23"/>
      <c r="J438" s="23"/>
      <c r="K438" s="23" t="s">
        <v>920</v>
      </c>
      <c r="L438" s="23" t="s">
        <v>941</v>
      </c>
      <c r="M438" s="23"/>
      <c r="N438" s="23"/>
      <c r="O438" s="23"/>
      <c r="P438" s="23"/>
      <c r="Q438" s="23"/>
      <c r="R438" s="23"/>
      <c r="S438" s="23" t="s">
        <v>64</v>
      </c>
      <c r="T438" s="23"/>
      <c r="U438" s="23" t="s">
        <v>17</v>
      </c>
      <c r="V438" s="23"/>
      <c r="W438" s="33">
        <v>9.7000000000000003E-2</v>
      </c>
      <c r="Y438" t="s">
        <v>124</v>
      </c>
      <c r="Z438" t="s">
        <v>53</v>
      </c>
      <c r="AA438" t="s">
        <v>51</v>
      </c>
      <c r="AB438" t="s">
        <v>894</v>
      </c>
      <c r="AF438" t="s">
        <v>1437</v>
      </c>
      <c r="AG438" t="s">
        <v>58</v>
      </c>
      <c r="BX438" t="s">
        <v>1713</v>
      </c>
      <c r="BY438" t="s">
        <v>1817</v>
      </c>
      <c r="BZ438" t="s">
        <v>1714</v>
      </c>
      <c r="CA438" s="76">
        <v>46242</v>
      </c>
      <c r="CB438" t="s">
        <v>1715</v>
      </c>
      <c r="CC438" t="s">
        <v>1716</v>
      </c>
    </row>
    <row r="439" spans="1:98" hidden="1">
      <c r="A439" s="32" t="s">
        <v>945</v>
      </c>
      <c r="B439" s="32" t="s">
        <v>79</v>
      </c>
      <c r="C439" s="23">
        <v>102</v>
      </c>
      <c r="D439" s="23">
        <v>28506600</v>
      </c>
      <c r="E439" s="23">
        <v>4</v>
      </c>
      <c r="F439" s="23"/>
      <c r="G439" s="23" t="s">
        <v>52</v>
      </c>
      <c r="H439" s="23" t="s">
        <v>357</v>
      </c>
      <c r="I439" s="23"/>
      <c r="J439" s="23"/>
      <c r="K439" s="23" t="s">
        <v>358</v>
      </c>
      <c r="L439" s="23" t="s">
        <v>941</v>
      </c>
      <c r="M439" s="23"/>
      <c r="N439" s="23"/>
      <c r="O439" s="23"/>
      <c r="P439" s="23"/>
      <c r="Q439" s="23"/>
      <c r="R439" s="23"/>
      <c r="S439" s="23" t="s">
        <v>64</v>
      </c>
      <c r="T439" s="23"/>
      <c r="U439" s="23" t="s">
        <v>17</v>
      </c>
      <c r="V439" s="23"/>
      <c r="W439" s="33">
        <v>3.3000000000000002E-2</v>
      </c>
      <c r="Y439" t="s">
        <v>124</v>
      </c>
      <c r="Z439" t="s">
        <v>53</v>
      </c>
      <c r="AA439" t="s">
        <v>51</v>
      </c>
      <c r="AB439" t="s">
        <v>894</v>
      </c>
      <c r="AF439" t="s">
        <v>1437</v>
      </c>
      <c r="AG439" t="s">
        <v>58</v>
      </c>
      <c r="BX439" t="s">
        <v>1717</v>
      </c>
      <c r="BY439" t="s">
        <v>357</v>
      </c>
      <c r="BZ439" t="s">
        <v>1718</v>
      </c>
      <c r="CA439">
        <v>8</v>
      </c>
      <c r="CB439" t="s">
        <v>1715</v>
      </c>
      <c r="CC439" t="s">
        <v>1716</v>
      </c>
    </row>
    <row r="440" spans="1:98" hidden="1">
      <c r="A440" s="32" t="s">
        <v>946</v>
      </c>
      <c r="B440" s="32" t="s">
        <v>79</v>
      </c>
      <c r="C440" s="23">
        <v>103</v>
      </c>
      <c r="D440" s="23">
        <v>5289600</v>
      </c>
      <c r="E440" s="23">
        <v>8</v>
      </c>
      <c r="F440" s="23"/>
      <c r="G440" s="23" t="s">
        <v>52</v>
      </c>
      <c r="H440" s="23"/>
      <c r="I440" s="23"/>
      <c r="J440" s="23"/>
      <c r="K440" s="23" t="s">
        <v>923</v>
      </c>
      <c r="L440" s="23" t="s">
        <v>941</v>
      </c>
      <c r="M440" s="23"/>
      <c r="N440" s="23"/>
      <c r="O440" s="23"/>
      <c r="P440" s="23"/>
      <c r="Q440" s="23"/>
      <c r="R440" s="23"/>
      <c r="S440" s="23" t="s">
        <v>64</v>
      </c>
      <c r="T440" s="23"/>
      <c r="U440" s="23" t="s">
        <v>17</v>
      </c>
      <c r="V440" s="23"/>
      <c r="W440" s="33">
        <v>1.0999999999999999E-2</v>
      </c>
      <c r="Y440" t="s">
        <v>124</v>
      </c>
      <c r="Z440" t="s">
        <v>53</v>
      </c>
      <c r="AA440" t="s">
        <v>51</v>
      </c>
      <c r="AB440" t="s">
        <v>894</v>
      </c>
      <c r="AF440" t="s">
        <v>1437</v>
      </c>
      <c r="AG440" t="s">
        <v>58</v>
      </c>
      <c r="BX440" t="s">
        <v>1719</v>
      </c>
      <c r="BY440">
        <v>17</v>
      </c>
      <c r="BZ440" t="s">
        <v>1818</v>
      </c>
      <c r="CA440" t="s">
        <v>1734</v>
      </c>
    </row>
    <row r="441" spans="1:98" hidden="1">
      <c r="A441" s="29" t="s">
        <v>947</v>
      </c>
      <c r="B441" s="29" t="s">
        <v>74</v>
      </c>
      <c r="C441" s="30">
        <v>3</v>
      </c>
      <c r="D441" s="30" t="s">
        <v>948</v>
      </c>
      <c r="E441" s="30">
        <v>24</v>
      </c>
      <c r="F441" s="30"/>
      <c r="G441" s="30" t="s">
        <v>52</v>
      </c>
      <c r="H441" s="30"/>
      <c r="I441" s="30"/>
      <c r="J441" s="30"/>
      <c r="K441" s="30" t="s">
        <v>949</v>
      </c>
      <c r="L441" s="30" t="s">
        <v>948</v>
      </c>
      <c r="M441" s="30">
        <v>2</v>
      </c>
      <c r="N441" s="30"/>
      <c r="O441" s="23"/>
      <c r="P441" s="23"/>
      <c r="Q441" s="23"/>
      <c r="R441" s="23"/>
      <c r="S441" s="23" t="s">
        <v>64</v>
      </c>
      <c r="T441" s="23"/>
      <c r="U441" s="23" t="s">
        <v>54</v>
      </c>
      <c r="V441" s="23"/>
      <c r="W441" s="31">
        <v>17.004000000000001</v>
      </c>
      <c r="Y441" t="s">
        <v>40</v>
      </c>
      <c r="Z441" t="s">
        <v>53</v>
      </c>
      <c r="AA441" t="s">
        <v>51</v>
      </c>
      <c r="AB441" t="s">
        <v>894</v>
      </c>
      <c r="AF441" t="s">
        <v>1437</v>
      </c>
      <c r="AG441" t="s">
        <v>58</v>
      </c>
      <c r="BX441" t="s">
        <v>949</v>
      </c>
    </row>
    <row r="442" spans="1:98" hidden="1">
      <c r="A442" s="29" t="s">
        <v>950</v>
      </c>
      <c r="B442" s="29" t="s">
        <v>79</v>
      </c>
      <c r="C442" s="30">
        <v>1</v>
      </c>
      <c r="D442" s="30" t="s">
        <v>951</v>
      </c>
      <c r="E442" s="30">
        <v>24</v>
      </c>
      <c r="F442" s="30"/>
      <c r="G442" s="30" t="s">
        <v>52</v>
      </c>
      <c r="H442" s="30"/>
      <c r="I442" s="30"/>
      <c r="J442" s="30"/>
      <c r="K442" s="30" t="s">
        <v>952</v>
      </c>
      <c r="L442" s="30" t="s">
        <v>951</v>
      </c>
      <c r="M442" s="30"/>
      <c r="N442" s="30"/>
      <c r="O442" s="23"/>
      <c r="P442" s="23"/>
      <c r="Q442" s="23"/>
      <c r="R442" s="23"/>
      <c r="S442" s="23" t="s">
        <v>64</v>
      </c>
      <c r="T442" s="23"/>
      <c r="U442" s="23" t="s">
        <v>54</v>
      </c>
      <c r="V442" s="23"/>
      <c r="W442" s="31">
        <v>16.7</v>
      </c>
      <c r="Y442" t="s">
        <v>40</v>
      </c>
      <c r="Z442" t="s">
        <v>53</v>
      </c>
      <c r="AA442" t="s">
        <v>51</v>
      </c>
      <c r="AB442" t="s">
        <v>894</v>
      </c>
      <c r="AF442" t="s">
        <v>1437</v>
      </c>
      <c r="AG442" t="s">
        <v>58</v>
      </c>
      <c r="BX442" t="s">
        <v>952</v>
      </c>
    </row>
    <row r="443" spans="1:98" hidden="1">
      <c r="A443" s="29" t="s">
        <v>953</v>
      </c>
      <c r="B443" s="29" t="s">
        <v>83</v>
      </c>
      <c r="C443" s="30">
        <v>1</v>
      </c>
      <c r="D443" s="30" t="s">
        <v>902</v>
      </c>
      <c r="E443" s="30">
        <v>24</v>
      </c>
      <c r="F443" s="30"/>
      <c r="G443" s="30" t="s">
        <v>52</v>
      </c>
      <c r="H443" s="30"/>
      <c r="I443" s="30"/>
      <c r="J443" s="30"/>
      <c r="K443" s="30" t="s">
        <v>903</v>
      </c>
      <c r="L443" s="30" t="s">
        <v>902</v>
      </c>
      <c r="M443" s="30">
        <v>1</v>
      </c>
      <c r="N443" s="30"/>
      <c r="O443" s="23"/>
      <c r="P443" s="23"/>
      <c r="Q443" s="23"/>
      <c r="R443" s="23"/>
      <c r="S443" s="23" t="s">
        <v>64</v>
      </c>
      <c r="T443" s="23"/>
      <c r="U443" s="23" t="s">
        <v>54</v>
      </c>
      <c r="V443" s="23"/>
      <c r="W443" s="31">
        <v>8.3000000000000007</v>
      </c>
      <c r="Y443" t="s">
        <v>40</v>
      </c>
      <c r="Z443" t="s">
        <v>53</v>
      </c>
      <c r="AA443" t="s">
        <v>51</v>
      </c>
      <c r="AB443" t="s">
        <v>894</v>
      </c>
      <c r="AF443" t="s">
        <v>1437</v>
      </c>
      <c r="AG443" t="s">
        <v>58</v>
      </c>
      <c r="BX443" t="s">
        <v>903</v>
      </c>
    </row>
    <row r="444" spans="1:98" s="79" customFormat="1">
      <c r="A444" s="80" t="s">
        <v>954</v>
      </c>
      <c r="B444" s="80" t="s">
        <v>220</v>
      </c>
      <c r="C444" s="81">
        <v>1</v>
      </c>
      <c r="D444" s="81">
        <v>1700</v>
      </c>
      <c r="E444" s="81">
        <v>24</v>
      </c>
      <c r="F444" s="81"/>
      <c r="G444" s="81" t="s">
        <v>89</v>
      </c>
      <c r="H444" s="81" t="s">
        <v>905</v>
      </c>
      <c r="I444" s="81" t="s">
        <v>85</v>
      </c>
      <c r="J444" s="81">
        <v>171.7</v>
      </c>
      <c r="K444" s="81" t="s">
        <v>430</v>
      </c>
      <c r="L444" s="81" t="s">
        <v>902</v>
      </c>
      <c r="M444" s="81"/>
      <c r="N444" s="81"/>
      <c r="O444" s="23"/>
      <c r="P444" s="23"/>
      <c r="Q444" s="23"/>
      <c r="R444" s="23"/>
      <c r="S444" s="23" t="s">
        <v>64</v>
      </c>
      <c r="T444" s="23"/>
      <c r="U444" s="23" t="s">
        <v>87</v>
      </c>
      <c r="V444" s="23"/>
      <c r="W444" s="82">
        <v>0</v>
      </c>
      <c r="Y444" s="79" t="s">
        <v>161</v>
      </c>
      <c r="Z444" s="79" t="s">
        <v>53</v>
      </c>
      <c r="AA444" s="79" t="s">
        <v>51</v>
      </c>
      <c r="AB444" s="79" t="s">
        <v>894</v>
      </c>
      <c r="AF444" s="79" t="s">
        <v>1437</v>
      </c>
      <c r="AG444" s="79" t="s">
        <v>58</v>
      </c>
      <c r="AI444" s="79" t="str">
        <f>BY444&amp;"_"&amp;CB444&amp;"_"&amp;L444&amp;"_p"&amp;C444&amp;"_"&amp;E444&amp;"st_"&amp;AK444&amp;"_"&amp;RIGHT(AG444,4)&amp;"_"&amp;AL444</f>
        <v>5_S235_SL41061900_p1_24st_GS_2050_</v>
      </c>
      <c r="AK444" s="79" t="s">
        <v>1903</v>
      </c>
      <c r="AM444" s="79" t="s">
        <v>1675</v>
      </c>
      <c r="AO444"/>
      <c r="AP444"/>
      <c r="AQ444"/>
      <c r="AR444"/>
      <c r="AS444"/>
      <c r="AT444"/>
      <c r="AU444"/>
      <c r="AV444"/>
      <c r="AW444"/>
      <c r="AX444"/>
      <c r="AY444"/>
      <c r="AZ444" s="83" t="s">
        <v>1595</v>
      </c>
      <c r="BA444" s="83" t="s">
        <v>1596</v>
      </c>
      <c r="BX444" s="79" t="s">
        <v>1691</v>
      </c>
      <c r="BY444" s="79">
        <v>5</v>
      </c>
      <c r="BZ444" s="79" t="s">
        <v>1692</v>
      </c>
      <c r="CA444" s="79" t="s">
        <v>1736</v>
      </c>
      <c r="CB444" s="79" t="s">
        <v>1895</v>
      </c>
      <c r="CG444" s="79">
        <v>5</v>
      </c>
      <c r="CH444" s="79" t="s">
        <v>1895</v>
      </c>
      <c r="CI444" s="79" t="s">
        <v>902</v>
      </c>
      <c r="CJ444" s="79" t="s">
        <v>1898</v>
      </c>
      <c r="CK444" s="79" t="s">
        <v>1922</v>
      </c>
      <c r="CL444" s="79" t="s">
        <v>1903</v>
      </c>
      <c r="CM444" s="79">
        <v>9184</v>
      </c>
      <c r="CN444" s="79" t="s">
        <v>1923</v>
      </c>
      <c r="CR444" s="79" t="s">
        <v>2036</v>
      </c>
      <c r="CT444" s="79" t="s">
        <v>1903</v>
      </c>
    </row>
    <row r="445" spans="1:98" hidden="1">
      <c r="A445" s="29" t="s">
        <v>955</v>
      </c>
      <c r="B445" s="29" t="s">
        <v>83</v>
      </c>
      <c r="C445" s="30">
        <v>2</v>
      </c>
      <c r="D445" s="30" t="s">
        <v>956</v>
      </c>
      <c r="E445" s="30">
        <v>48</v>
      </c>
      <c r="F445" s="30"/>
      <c r="G445" s="30" t="s">
        <v>52</v>
      </c>
      <c r="H445" s="30"/>
      <c r="I445" s="30"/>
      <c r="J445" s="30"/>
      <c r="K445" s="30" t="s">
        <v>957</v>
      </c>
      <c r="L445" s="30" t="s">
        <v>956</v>
      </c>
      <c r="M445" s="30"/>
      <c r="N445" s="30"/>
      <c r="O445" s="23"/>
      <c r="P445" s="23"/>
      <c r="Q445" s="23"/>
      <c r="R445" s="23"/>
      <c r="S445" s="23" t="s">
        <v>64</v>
      </c>
      <c r="T445" s="23"/>
      <c r="U445" s="23" t="s">
        <v>54</v>
      </c>
      <c r="V445" s="23"/>
      <c r="W445" s="31">
        <v>2.9</v>
      </c>
      <c r="Y445" t="s">
        <v>40</v>
      </c>
      <c r="Z445" t="s">
        <v>53</v>
      </c>
      <c r="AA445" t="s">
        <v>51</v>
      </c>
      <c r="AB445" t="s">
        <v>894</v>
      </c>
      <c r="AF445" t="s">
        <v>1437</v>
      </c>
      <c r="AG445" t="s">
        <v>58</v>
      </c>
      <c r="BX445" t="s">
        <v>957</v>
      </c>
    </row>
    <row r="446" spans="1:98" s="79" customFormat="1">
      <c r="A446" s="80" t="s">
        <v>958</v>
      </c>
      <c r="B446" s="80" t="s">
        <v>220</v>
      </c>
      <c r="C446" s="81">
        <v>1</v>
      </c>
      <c r="D446" s="81">
        <v>8300</v>
      </c>
      <c r="E446" s="81">
        <v>48</v>
      </c>
      <c r="F446" s="81"/>
      <c r="G446" s="81" t="s">
        <v>89</v>
      </c>
      <c r="H446" s="81">
        <v>515.29999999999995</v>
      </c>
      <c r="I446" s="81" t="s">
        <v>85</v>
      </c>
      <c r="J446" s="81">
        <v>90</v>
      </c>
      <c r="K446" s="81" t="s">
        <v>166</v>
      </c>
      <c r="L446" s="81" t="s">
        <v>956</v>
      </c>
      <c r="M446" s="81"/>
      <c r="N446" s="81"/>
      <c r="O446" s="23"/>
      <c r="P446" s="23"/>
      <c r="Q446" s="23"/>
      <c r="R446" s="23"/>
      <c r="S446" s="23" t="s">
        <v>64</v>
      </c>
      <c r="T446" s="23"/>
      <c r="U446" s="23" t="s">
        <v>87</v>
      </c>
      <c r="V446" s="23"/>
      <c r="W446" s="82">
        <v>0</v>
      </c>
      <c r="Y446" s="79" t="s">
        <v>161</v>
      </c>
      <c r="Z446" s="79" t="s">
        <v>53</v>
      </c>
      <c r="AA446" s="79" t="s">
        <v>51</v>
      </c>
      <c r="AB446" s="79" t="s">
        <v>894</v>
      </c>
      <c r="AF446" s="79" t="s">
        <v>1437</v>
      </c>
      <c r="AG446" s="79" t="s">
        <v>58</v>
      </c>
      <c r="AI446" s="79" t="str">
        <f>BY446&amp;"_"&amp;CB446&amp;"_"&amp;L446&amp;"_p"&amp;C446&amp;"_"&amp;E446&amp;"st_"&amp;AK446&amp;"_"&amp;RIGHT(AG446,4)&amp;"_"&amp;AL446</f>
        <v>8_S235_SL41061411_p1_48st_GS_2050_</v>
      </c>
      <c r="AK446" s="79" t="s">
        <v>1903</v>
      </c>
      <c r="AM446" s="79" t="s">
        <v>1675</v>
      </c>
      <c r="AO446"/>
      <c r="AP446"/>
      <c r="AQ446"/>
      <c r="AR446"/>
      <c r="AS446"/>
      <c r="AT446"/>
      <c r="AU446"/>
      <c r="AV446"/>
      <c r="AW446"/>
      <c r="AX446"/>
      <c r="AY446"/>
      <c r="AZ446" s="83" t="s">
        <v>1609</v>
      </c>
      <c r="BA446" s="83" t="s">
        <v>1610</v>
      </c>
      <c r="BX446" s="79" t="s">
        <v>1691</v>
      </c>
      <c r="BY446" s="79">
        <v>8</v>
      </c>
      <c r="BZ446" s="79" t="s">
        <v>1692</v>
      </c>
      <c r="CA446" s="79" t="s">
        <v>1736</v>
      </c>
      <c r="CB446" s="79" t="s">
        <v>1895</v>
      </c>
      <c r="CG446" s="79">
        <v>8</v>
      </c>
      <c r="CH446" s="79" t="s">
        <v>1895</v>
      </c>
      <c r="CI446" s="79" t="s">
        <v>956</v>
      </c>
      <c r="CJ446" s="79" t="s">
        <v>1898</v>
      </c>
      <c r="CK446" s="79" t="s">
        <v>1903</v>
      </c>
      <c r="CL446" s="79" t="s">
        <v>1903</v>
      </c>
      <c r="CM446" s="79">
        <v>1761</v>
      </c>
      <c r="CR446" s="79" t="s">
        <v>2037</v>
      </c>
      <c r="CT446" s="79" t="s">
        <v>1903</v>
      </c>
    </row>
    <row r="447" spans="1:98" hidden="1">
      <c r="A447" s="29" t="s">
        <v>959</v>
      </c>
      <c r="B447" s="29" t="s">
        <v>83</v>
      </c>
      <c r="C447" s="30">
        <v>3</v>
      </c>
      <c r="D447" s="30" t="s">
        <v>960</v>
      </c>
      <c r="E447" s="30">
        <v>48</v>
      </c>
      <c r="F447" s="30"/>
      <c r="G447" s="30" t="s">
        <v>52</v>
      </c>
      <c r="H447" s="30"/>
      <c r="I447" s="30"/>
      <c r="J447" s="30"/>
      <c r="K447" s="30" t="s">
        <v>961</v>
      </c>
      <c r="L447" s="30" t="s">
        <v>960</v>
      </c>
      <c r="M447" s="30"/>
      <c r="N447" s="30"/>
      <c r="O447" s="23"/>
      <c r="P447" s="23"/>
      <c r="Q447" s="23"/>
      <c r="R447" s="23"/>
      <c r="S447" s="23" t="s">
        <v>64</v>
      </c>
      <c r="T447" s="23"/>
      <c r="U447" s="23" t="s">
        <v>54</v>
      </c>
      <c r="V447" s="23"/>
      <c r="W447" s="31">
        <v>0.7</v>
      </c>
      <c r="Y447" t="s">
        <v>40</v>
      </c>
      <c r="Z447" t="s">
        <v>53</v>
      </c>
      <c r="AA447" t="s">
        <v>51</v>
      </c>
      <c r="AB447" t="s">
        <v>894</v>
      </c>
      <c r="AF447" t="s">
        <v>1437</v>
      </c>
      <c r="AG447" t="s">
        <v>58</v>
      </c>
      <c r="BX447" t="s">
        <v>961</v>
      </c>
    </row>
    <row r="448" spans="1:98" s="79" customFormat="1">
      <c r="A448" s="80" t="s">
        <v>962</v>
      </c>
      <c r="B448" s="80" t="s">
        <v>220</v>
      </c>
      <c r="C448" s="81">
        <v>1</v>
      </c>
      <c r="D448" s="81">
        <v>1700</v>
      </c>
      <c r="E448" s="81">
        <v>48</v>
      </c>
      <c r="F448" s="81"/>
      <c r="G448" s="81" t="s">
        <v>89</v>
      </c>
      <c r="H448" s="81">
        <v>351.9</v>
      </c>
      <c r="I448" s="81" t="s">
        <v>85</v>
      </c>
      <c r="J448" s="81">
        <v>50</v>
      </c>
      <c r="K448" s="81" t="s">
        <v>430</v>
      </c>
      <c r="L448" s="81" t="s">
        <v>960</v>
      </c>
      <c r="M448" s="81"/>
      <c r="N448" s="81"/>
      <c r="O448" s="23"/>
      <c r="P448" s="23"/>
      <c r="Q448" s="23"/>
      <c r="R448" s="23"/>
      <c r="S448" s="23" t="s">
        <v>64</v>
      </c>
      <c r="T448" s="23"/>
      <c r="U448" s="23" t="s">
        <v>87</v>
      </c>
      <c r="V448" s="23"/>
      <c r="W448" s="82">
        <v>0</v>
      </c>
      <c r="Y448" s="79" t="s">
        <v>161</v>
      </c>
      <c r="Z448" s="79" t="s">
        <v>53</v>
      </c>
      <c r="AA448" s="79" t="s">
        <v>51</v>
      </c>
      <c r="AB448" s="79" t="s">
        <v>894</v>
      </c>
      <c r="AF448" s="79" t="s">
        <v>1437</v>
      </c>
      <c r="AG448" s="79" t="s">
        <v>58</v>
      </c>
      <c r="AI448" s="79" t="str">
        <f>BY448&amp;"_"&amp;CB448&amp;"_"&amp;L448&amp;"_p"&amp;C448&amp;"_"&amp;E448&amp;"st_"&amp;AK448&amp;"_"&amp;RIGHT(AG448,4)&amp;"_"&amp;AL448</f>
        <v>5_S235_SL41061412_p1_48st_GS_2050_</v>
      </c>
      <c r="AK448" s="79" t="s">
        <v>1903</v>
      </c>
      <c r="AM448" s="79" t="s">
        <v>1675</v>
      </c>
      <c r="AO448"/>
      <c r="AP448"/>
      <c r="AQ448"/>
      <c r="AR448"/>
      <c r="AS448"/>
      <c r="AT448"/>
      <c r="AU448"/>
      <c r="AV448"/>
      <c r="AW448"/>
      <c r="AX448"/>
      <c r="AY448"/>
      <c r="AZ448" s="83" t="s">
        <v>1611</v>
      </c>
      <c r="BA448" s="83" t="s">
        <v>1612</v>
      </c>
      <c r="BX448" s="79" t="s">
        <v>1691</v>
      </c>
      <c r="BY448" s="79">
        <v>5</v>
      </c>
      <c r="BZ448" s="79" t="s">
        <v>1692</v>
      </c>
      <c r="CA448" s="79" t="s">
        <v>1736</v>
      </c>
      <c r="CB448" s="79" t="s">
        <v>1895</v>
      </c>
      <c r="CG448" s="79">
        <v>5</v>
      </c>
      <c r="CH448" s="79" t="s">
        <v>1895</v>
      </c>
      <c r="CI448" s="79" t="s">
        <v>960</v>
      </c>
      <c r="CJ448" s="79" t="s">
        <v>1898</v>
      </c>
      <c r="CK448" s="79" t="s">
        <v>1903</v>
      </c>
      <c r="CL448" s="79" t="s">
        <v>1903</v>
      </c>
      <c r="CM448" s="79">
        <v>1761</v>
      </c>
      <c r="CR448" s="79" t="s">
        <v>2038</v>
      </c>
      <c r="CT448" s="79" t="s">
        <v>1903</v>
      </c>
    </row>
    <row r="449" spans="1:104" hidden="1">
      <c r="A449" s="29" t="s">
        <v>963</v>
      </c>
      <c r="B449" s="29" t="s">
        <v>83</v>
      </c>
      <c r="C449" s="30">
        <v>4</v>
      </c>
      <c r="D449" s="30" t="s">
        <v>964</v>
      </c>
      <c r="E449" s="30">
        <v>48</v>
      </c>
      <c r="F449" s="30"/>
      <c r="G449" s="30" t="s">
        <v>52</v>
      </c>
      <c r="H449" s="30"/>
      <c r="I449" s="30"/>
      <c r="J449" s="30"/>
      <c r="K449" s="30" t="s">
        <v>965</v>
      </c>
      <c r="L449" s="30" t="s">
        <v>964</v>
      </c>
      <c r="M449" s="30"/>
      <c r="N449" s="30"/>
      <c r="O449" s="23"/>
      <c r="P449" s="23"/>
      <c r="Q449" s="23"/>
      <c r="R449" s="23"/>
      <c r="S449" s="23" t="s">
        <v>64</v>
      </c>
      <c r="T449" s="23"/>
      <c r="U449" s="23" t="s">
        <v>54</v>
      </c>
      <c r="V449" s="23"/>
      <c r="W449" s="31">
        <v>0.6</v>
      </c>
      <c r="Y449" t="s">
        <v>40</v>
      </c>
      <c r="Z449" t="s">
        <v>53</v>
      </c>
      <c r="AA449" t="s">
        <v>51</v>
      </c>
      <c r="AB449" t="s">
        <v>894</v>
      </c>
      <c r="AF449" t="s">
        <v>1437</v>
      </c>
      <c r="AG449" t="s">
        <v>58</v>
      </c>
      <c r="BX449" t="s">
        <v>965</v>
      </c>
    </row>
    <row r="450" spans="1:104" s="79" customFormat="1">
      <c r="A450" s="80" t="s">
        <v>966</v>
      </c>
      <c r="B450" s="80" t="s">
        <v>220</v>
      </c>
      <c r="C450" s="81">
        <v>1</v>
      </c>
      <c r="D450" s="81">
        <v>1700</v>
      </c>
      <c r="E450" s="81">
        <v>48</v>
      </c>
      <c r="F450" s="81"/>
      <c r="G450" s="81" t="s">
        <v>89</v>
      </c>
      <c r="H450" s="81">
        <v>318.39999999999998</v>
      </c>
      <c r="I450" s="81" t="s">
        <v>85</v>
      </c>
      <c r="J450" s="81">
        <v>50</v>
      </c>
      <c r="K450" s="81" t="s">
        <v>430</v>
      </c>
      <c r="L450" s="81" t="s">
        <v>964</v>
      </c>
      <c r="M450" s="81"/>
      <c r="N450" s="81"/>
      <c r="O450" s="23"/>
      <c r="P450" s="23"/>
      <c r="Q450" s="23"/>
      <c r="R450" s="23"/>
      <c r="S450" s="23" t="s">
        <v>64</v>
      </c>
      <c r="T450" s="23"/>
      <c r="U450" s="23" t="s">
        <v>87</v>
      </c>
      <c r="V450" s="23"/>
      <c r="W450" s="82">
        <v>0</v>
      </c>
      <c r="Y450" s="79" t="s">
        <v>161</v>
      </c>
      <c r="Z450" s="79" t="s">
        <v>53</v>
      </c>
      <c r="AA450" s="79" t="s">
        <v>51</v>
      </c>
      <c r="AB450" s="79" t="s">
        <v>894</v>
      </c>
      <c r="AF450" s="79" t="s">
        <v>1437</v>
      </c>
      <c r="AG450" s="79" t="s">
        <v>58</v>
      </c>
      <c r="AI450" s="79" t="str">
        <f>BY450&amp;"_"&amp;CB450&amp;"_"&amp;L450&amp;"_p"&amp;C450&amp;"_"&amp;E450&amp;"st_"&amp;AK450&amp;"_"&amp;RIGHT(AG450,4)&amp;"_"&amp;AL450</f>
        <v>5_S235_SL40061400_p1_48st_GS_2050_</v>
      </c>
      <c r="AK450" s="79" t="s">
        <v>1903</v>
      </c>
      <c r="AM450" s="79" t="s">
        <v>1675</v>
      </c>
      <c r="AO450"/>
      <c r="AP450"/>
      <c r="AQ450"/>
      <c r="AR450"/>
      <c r="AS450"/>
      <c r="AT450"/>
      <c r="AU450"/>
      <c r="AV450"/>
      <c r="AW450"/>
      <c r="AX450"/>
      <c r="AY450"/>
      <c r="AZ450" s="83" t="s">
        <v>1613</v>
      </c>
      <c r="BA450" s="83" t="s">
        <v>1614</v>
      </c>
      <c r="BX450" s="79" t="s">
        <v>1691</v>
      </c>
      <c r="BY450" s="79">
        <v>5</v>
      </c>
      <c r="BZ450" s="79" t="s">
        <v>1692</v>
      </c>
      <c r="CA450" s="79" t="s">
        <v>1736</v>
      </c>
      <c r="CB450" s="79" t="s">
        <v>1895</v>
      </c>
      <c r="CG450" s="79">
        <v>5</v>
      </c>
      <c r="CH450" s="79" t="s">
        <v>1895</v>
      </c>
      <c r="CI450" s="79" t="s">
        <v>964</v>
      </c>
      <c r="CJ450" s="79" t="s">
        <v>1898</v>
      </c>
      <c r="CK450" s="79" t="s">
        <v>1903</v>
      </c>
      <c r="CL450" s="79" t="s">
        <v>1903</v>
      </c>
      <c r="CM450" s="79">
        <v>1761</v>
      </c>
      <c r="CR450" s="79" t="s">
        <v>2039</v>
      </c>
      <c r="CT450" s="79" t="s">
        <v>1903</v>
      </c>
    </row>
    <row r="451" spans="1:104" hidden="1">
      <c r="A451" s="32" t="s">
        <v>967</v>
      </c>
      <c r="B451" s="32" t="s">
        <v>79</v>
      </c>
      <c r="C451" s="23">
        <v>101</v>
      </c>
      <c r="D451" s="23">
        <v>1251700</v>
      </c>
      <c r="E451" s="23">
        <v>48</v>
      </c>
      <c r="F451" s="23"/>
      <c r="G451" s="23" t="s">
        <v>52</v>
      </c>
      <c r="H451" s="23" t="s">
        <v>919</v>
      </c>
      <c r="I451" s="23"/>
      <c r="J451" s="23"/>
      <c r="K451" s="23" t="s">
        <v>920</v>
      </c>
      <c r="L451" s="23" t="s">
        <v>964</v>
      </c>
      <c r="M451" s="23"/>
      <c r="N451" s="23"/>
      <c r="O451" s="23"/>
      <c r="P451" s="23"/>
      <c r="Q451" s="23"/>
      <c r="R451" s="23"/>
      <c r="S451" s="23" t="s">
        <v>64</v>
      </c>
      <c r="T451" s="23"/>
      <c r="U451" s="23" t="s">
        <v>17</v>
      </c>
      <c r="V451" s="23"/>
      <c r="W451" s="33">
        <v>9.7000000000000003E-2</v>
      </c>
      <c r="Y451" t="s">
        <v>124</v>
      </c>
      <c r="Z451" t="s">
        <v>53</v>
      </c>
      <c r="AA451" t="s">
        <v>51</v>
      </c>
      <c r="AB451" t="s">
        <v>894</v>
      </c>
      <c r="AF451" t="s">
        <v>1437</v>
      </c>
      <c r="AG451" t="s">
        <v>58</v>
      </c>
      <c r="BX451" t="s">
        <v>1713</v>
      </c>
      <c r="BY451" t="s">
        <v>1817</v>
      </c>
      <c r="BZ451" t="s">
        <v>1714</v>
      </c>
      <c r="CA451" s="76">
        <v>46242</v>
      </c>
      <c r="CB451" t="s">
        <v>1715</v>
      </c>
      <c r="CC451" t="s">
        <v>1716</v>
      </c>
    </row>
    <row r="452" spans="1:104" hidden="1">
      <c r="A452" s="32" t="s">
        <v>968</v>
      </c>
      <c r="B452" s="32" t="s">
        <v>79</v>
      </c>
      <c r="C452" s="23">
        <v>102</v>
      </c>
      <c r="D452" s="23">
        <v>28506600</v>
      </c>
      <c r="E452" s="23">
        <v>48</v>
      </c>
      <c r="F452" s="23"/>
      <c r="G452" s="23" t="s">
        <v>52</v>
      </c>
      <c r="H452" s="23" t="s">
        <v>357</v>
      </c>
      <c r="I452" s="23"/>
      <c r="J452" s="23"/>
      <c r="K452" s="23" t="s">
        <v>358</v>
      </c>
      <c r="L452" s="23" t="s">
        <v>964</v>
      </c>
      <c r="M452" s="23"/>
      <c r="N452" s="23"/>
      <c r="O452" s="23"/>
      <c r="P452" s="23"/>
      <c r="Q452" s="23"/>
      <c r="R452" s="23"/>
      <c r="S452" s="23" t="s">
        <v>64</v>
      </c>
      <c r="T452" s="23"/>
      <c r="U452" s="23" t="s">
        <v>17</v>
      </c>
      <c r="V452" s="23"/>
      <c r="W452" s="33">
        <v>3.3000000000000002E-2</v>
      </c>
      <c r="Y452" t="s">
        <v>124</v>
      </c>
      <c r="Z452" t="s">
        <v>53</v>
      </c>
      <c r="AA452" t="s">
        <v>51</v>
      </c>
      <c r="AB452" t="s">
        <v>894</v>
      </c>
      <c r="AF452" t="s">
        <v>1437</v>
      </c>
      <c r="AG452" t="s">
        <v>58</v>
      </c>
      <c r="BX452" t="s">
        <v>1717</v>
      </c>
      <c r="BY452" t="s">
        <v>357</v>
      </c>
      <c r="BZ452" t="s">
        <v>1718</v>
      </c>
      <c r="CA452">
        <v>8</v>
      </c>
      <c r="CB452" t="s">
        <v>1715</v>
      </c>
      <c r="CC452" t="s">
        <v>1716</v>
      </c>
    </row>
    <row r="453" spans="1:104" hidden="1">
      <c r="A453" s="32" t="s">
        <v>969</v>
      </c>
      <c r="B453" s="32" t="s">
        <v>79</v>
      </c>
      <c r="C453" s="23">
        <v>103</v>
      </c>
      <c r="D453" s="23">
        <v>5289600</v>
      </c>
      <c r="E453" s="23">
        <v>96</v>
      </c>
      <c r="F453" s="23"/>
      <c r="G453" s="23" t="s">
        <v>52</v>
      </c>
      <c r="H453" s="23"/>
      <c r="I453" s="23"/>
      <c r="J453" s="23"/>
      <c r="K453" s="23" t="s">
        <v>923</v>
      </c>
      <c r="L453" s="23" t="s">
        <v>964</v>
      </c>
      <c r="M453" s="23"/>
      <c r="N453" s="23"/>
      <c r="O453" s="23"/>
      <c r="P453" s="23"/>
      <c r="Q453" s="23"/>
      <c r="R453" s="23"/>
      <c r="S453" s="23" t="s">
        <v>64</v>
      </c>
      <c r="T453" s="23"/>
      <c r="U453" s="23" t="s">
        <v>17</v>
      </c>
      <c r="V453" s="23"/>
      <c r="W453" s="33">
        <v>1.0999999999999999E-2</v>
      </c>
      <c r="Y453" t="s">
        <v>124</v>
      </c>
      <c r="Z453" t="s">
        <v>53</v>
      </c>
      <c r="AA453" t="s">
        <v>51</v>
      </c>
      <c r="AB453" t="s">
        <v>894</v>
      </c>
      <c r="AF453" t="s">
        <v>1437</v>
      </c>
      <c r="AG453" t="s">
        <v>58</v>
      </c>
      <c r="BX453" t="s">
        <v>1719</v>
      </c>
      <c r="BY453">
        <v>17</v>
      </c>
      <c r="BZ453" t="s">
        <v>1818</v>
      </c>
      <c r="CA453" t="s">
        <v>1734</v>
      </c>
    </row>
    <row r="454" spans="1:104" hidden="1">
      <c r="A454" s="29" t="s">
        <v>970</v>
      </c>
      <c r="B454" s="29" t="s">
        <v>74</v>
      </c>
      <c r="C454" s="30">
        <v>4</v>
      </c>
      <c r="D454" s="30" t="s">
        <v>971</v>
      </c>
      <c r="E454" s="30">
        <v>1</v>
      </c>
      <c r="F454" s="30"/>
      <c r="G454" s="30" t="s">
        <v>52</v>
      </c>
      <c r="H454" s="30"/>
      <c r="I454" s="30"/>
      <c r="J454" s="30"/>
      <c r="K454" s="30" t="s">
        <v>972</v>
      </c>
      <c r="L454" s="30" t="s">
        <v>971</v>
      </c>
      <c r="M454" s="30">
        <v>2</v>
      </c>
      <c r="N454" s="30"/>
      <c r="O454" s="23"/>
      <c r="P454" s="23"/>
      <c r="Q454" s="23"/>
      <c r="R454" s="23"/>
      <c r="S454" s="23" t="s">
        <v>64</v>
      </c>
      <c r="T454" s="23"/>
      <c r="U454" s="23" t="s">
        <v>54</v>
      </c>
      <c r="V454" s="23"/>
      <c r="W454" s="31">
        <v>15.069000000000001</v>
      </c>
      <c r="Y454" t="s">
        <v>40</v>
      </c>
      <c r="Z454" t="s">
        <v>53</v>
      </c>
      <c r="AA454" t="s">
        <v>51</v>
      </c>
      <c r="AB454" t="s">
        <v>894</v>
      </c>
      <c r="AF454" t="s">
        <v>1437</v>
      </c>
      <c r="AG454" t="s">
        <v>58</v>
      </c>
      <c r="BX454" t="s">
        <v>972</v>
      </c>
    </row>
    <row r="455" spans="1:104" hidden="1">
      <c r="A455" s="29" t="s">
        <v>973</v>
      </c>
      <c r="B455" s="29" t="s">
        <v>79</v>
      </c>
      <c r="C455" s="30">
        <v>1</v>
      </c>
      <c r="D455" s="30" t="s">
        <v>974</v>
      </c>
      <c r="E455" s="30">
        <v>1</v>
      </c>
      <c r="F455" s="30"/>
      <c r="G455" s="30" t="s">
        <v>52</v>
      </c>
      <c r="H455" s="30"/>
      <c r="I455" s="30"/>
      <c r="J455" s="30"/>
      <c r="K455" s="30" t="s">
        <v>975</v>
      </c>
      <c r="L455" s="30" t="s">
        <v>974</v>
      </c>
      <c r="M455" s="30">
        <v>2</v>
      </c>
      <c r="N455" s="30"/>
      <c r="O455" s="23"/>
      <c r="P455" s="23"/>
      <c r="Q455" s="23"/>
      <c r="R455" s="23"/>
      <c r="S455" s="23" t="s">
        <v>64</v>
      </c>
      <c r="T455" s="23"/>
      <c r="U455" s="23" t="s">
        <v>54</v>
      </c>
      <c r="V455" s="23"/>
      <c r="W455" s="31">
        <v>14.867000000000001</v>
      </c>
      <c r="Y455" t="s">
        <v>40</v>
      </c>
      <c r="Z455" t="s">
        <v>53</v>
      </c>
      <c r="AA455" t="s">
        <v>51</v>
      </c>
      <c r="AB455" t="s">
        <v>894</v>
      </c>
      <c r="AF455" t="s">
        <v>1437</v>
      </c>
      <c r="AG455" t="s">
        <v>58</v>
      </c>
      <c r="BX455" t="s">
        <v>975</v>
      </c>
    </row>
    <row r="456" spans="1:104">
      <c r="A456" s="32" t="s">
        <v>976</v>
      </c>
      <c r="B456" s="32" t="s">
        <v>83</v>
      </c>
      <c r="C456" s="23">
        <v>1</v>
      </c>
      <c r="D456" s="23">
        <v>3670100</v>
      </c>
      <c r="E456" s="23">
        <v>1</v>
      </c>
      <c r="F456" s="23">
        <v>0.20200000000000001</v>
      </c>
      <c r="G456" s="23" t="s">
        <v>89</v>
      </c>
      <c r="H456" s="23">
        <v>180</v>
      </c>
      <c r="I456" s="23" t="s">
        <v>85</v>
      </c>
      <c r="J456" s="23" t="s">
        <v>977</v>
      </c>
      <c r="K456" s="23" t="s">
        <v>188</v>
      </c>
      <c r="L456" s="23" t="s">
        <v>974</v>
      </c>
      <c r="M456" s="23"/>
      <c r="N456" s="23"/>
      <c r="O456" s="23"/>
      <c r="P456" s="23"/>
      <c r="Q456" s="23"/>
      <c r="R456" s="23"/>
      <c r="S456" s="23" t="s">
        <v>64</v>
      </c>
      <c r="T456" s="23"/>
      <c r="U456" s="23" t="s">
        <v>87</v>
      </c>
      <c r="V456" s="23"/>
      <c r="W456" s="33">
        <v>0</v>
      </c>
      <c r="Y456" t="s">
        <v>161</v>
      </c>
      <c r="Z456" t="s">
        <v>53</v>
      </c>
      <c r="AA456" t="s">
        <v>51</v>
      </c>
      <c r="AB456" t="s">
        <v>894</v>
      </c>
      <c r="AF456" t="s">
        <v>1437</v>
      </c>
      <c r="AG456" t="s">
        <v>58</v>
      </c>
      <c r="AI456" t="str">
        <f t="shared" ref="AI456:AI460" si="70">BY456&amp;"_"&amp;CB456&amp;"_"&amp;L456&amp;"_p"&amp;C456&amp;"_"&amp;E456&amp;"st_"&amp;AK456&amp;"_"&amp;RIGHT(AG456,4)&amp;"_"&amp;AL456</f>
        <v>5_S235_SL10311085_p1_1st_GS_2050_</v>
      </c>
      <c r="AK456" t="str">
        <f t="shared" ref="AK456:AK460" si="71">CT456</f>
        <v>GS</v>
      </c>
      <c r="AM456" t="s">
        <v>1674</v>
      </c>
      <c r="AZ456" s="64" t="s">
        <v>1615</v>
      </c>
      <c r="BX456" t="s">
        <v>1691</v>
      </c>
      <c r="BY456">
        <v>5</v>
      </c>
      <c r="BZ456" t="s">
        <v>1692</v>
      </c>
      <c r="CA456" t="s">
        <v>1693</v>
      </c>
      <c r="CB456" t="s">
        <v>1895</v>
      </c>
      <c r="CR456" t="s">
        <v>2040</v>
      </c>
      <c r="CT456" t="s">
        <v>1903</v>
      </c>
      <c r="CW456" t="b">
        <f t="shared" ref="CW456:CW460" si="72">AI456=CR456</f>
        <v>1</v>
      </c>
      <c r="CX456" t="b">
        <f t="shared" ref="CX456:CX460" si="73">AJ456=CS456</f>
        <v>1</v>
      </c>
      <c r="CY456" t="b">
        <f t="shared" ref="CY456:CY460" si="74">AK456=CT456</f>
        <v>1</v>
      </c>
      <c r="CZ456" t="b">
        <f t="shared" ref="CZ456:CZ460" si="75">AL456=CU456</f>
        <v>1</v>
      </c>
    </row>
    <row r="457" spans="1:104">
      <c r="A457" s="32" t="s">
        <v>978</v>
      </c>
      <c r="B457" s="32" t="s">
        <v>83</v>
      </c>
      <c r="C457" s="23">
        <v>2</v>
      </c>
      <c r="D457" s="23">
        <v>3667000</v>
      </c>
      <c r="E457" s="23">
        <v>2</v>
      </c>
      <c r="F457" s="23">
        <v>6.6000000000000003E-2</v>
      </c>
      <c r="G457" s="23" t="s">
        <v>89</v>
      </c>
      <c r="H457" s="23">
        <v>80</v>
      </c>
      <c r="I457" s="23" t="s">
        <v>85</v>
      </c>
      <c r="J457" s="23">
        <v>418</v>
      </c>
      <c r="K457" s="23" t="s">
        <v>240</v>
      </c>
      <c r="L457" s="23" t="s">
        <v>974</v>
      </c>
      <c r="M457" s="23"/>
      <c r="N457" s="23"/>
      <c r="O457" s="23"/>
      <c r="P457" s="23"/>
      <c r="Q457" s="23"/>
      <c r="R457" s="23"/>
      <c r="S457" s="23" t="s">
        <v>64</v>
      </c>
      <c r="T457" s="23"/>
      <c r="U457" s="23" t="s">
        <v>87</v>
      </c>
      <c r="V457" s="23"/>
      <c r="W457" s="33">
        <v>0</v>
      </c>
      <c r="Y457" t="s">
        <v>161</v>
      </c>
      <c r="Z457" t="s">
        <v>53</v>
      </c>
      <c r="AA457" t="s">
        <v>51</v>
      </c>
      <c r="AB457" t="s">
        <v>894</v>
      </c>
      <c r="AF457" t="s">
        <v>1437</v>
      </c>
      <c r="AG457" t="s">
        <v>58</v>
      </c>
      <c r="AI457" t="str">
        <f t="shared" si="70"/>
        <v>8_S235_SL10311085_p2_2st_GS_2050_</v>
      </c>
      <c r="AK457" t="str">
        <f t="shared" si="71"/>
        <v>GS</v>
      </c>
      <c r="AM457" t="s">
        <v>1674</v>
      </c>
      <c r="AZ457" s="64" t="s">
        <v>1616</v>
      </c>
      <c r="BX457" t="s">
        <v>1691</v>
      </c>
      <c r="BY457">
        <v>8</v>
      </c>
      <c r="BZ457" t="s">
        <v>1692</v>
      </c>
      <c r="CA457" t="s">
        <v>1693</v>
      </c>
      <c r="CB457" t="s">
        <v>1895</v>
      </c>
      <c r="CR457" t="s">
        <v>2041</v>
      </c>
      <c r="CT457" t="s">
        <v>1903</v>
      </c>
      <c r="CW457" t="b">
        <f t="shared" si="72"/>
        <v>1</v>
      </c>
      <c r="CX457" t="b">
        <f t="shared" si="73"/>
        <v>1</v>
      </c>
      <c r="CY457" t="b">
        <f t="shared" si="74"/>
        <v>1</v>
      </c>
      <c r="CZ457" t="b">
        <f t="shared" si="75"/>
        <v>1</v>
      </c>
    </row>
    <row r="458" spans="1:104">
      <c r="A458" s="32" t="s">
        <v>979</v>
      </c>
      <c r="B458" s="32" t="s">
        <v>83</v>
      </c>
      <c r="C458" s="23">
        <v>3</v>
      </c>
      <c r="D458" s="23">
        <v>3670100</v>
      </c>
      <c r="E458" s="23">
        <v>2</v>
      </c>
      <c r="F458" s="23">
        <v>3.7999999999999999E-2</v>
      </c>
      <c r="G458" s="23" t="s">
        <v>89</v>
      </c>
      <c r="H458" s="23">
        <v>50</v>
      </c>
      <c r="I458" s="23" t="s">
        <v>85</v>
      </c>
      <c r="J458" s="23">
        <v>377</v>
      </c>
      <c r="K458" s="23" t="s">
        <v>188</v>
      </c>
      <c r="L458" s="23" t="s">
        <v>974</v>
      </c>
      <c r="M458" s="23"/>
      <c r="N458" s="23"/>
      <c r="O458" s="23"/>
      <c r="P458" s="23"/>
      <c r="Q458" s="23"/>
      <c r="R458" s="23"/>
      <c r="S458" s="23" t="s">
        <v>64</v>
      </c>
      <c r="T458" s="23"/>
      <c r="U458" s="23" t="s">
        <v>87</v>
      </c>
      <c r="V458" s="23"/>
      <c r="W458" s="33">
        <v>0</v>
      </c>
      <c r="Y458" t="s">
        <v>161</v>
      </c>
      <c r="Z458" t="s">
        <v>53</v>
      </c>
      <c r="AA458" t="s">
        <v>51</v>
      </c>
      <c r="AB458" t="s">
        <v>894</v>
      </c>
      <c r="AF458" t="s">
        <v>1437</v>
      </c>
      <c r="AG458" t="s">
        <v>58</v>
      </c>
      <c r="AI458" t="str">
        <f t="shared" si="70"/>
        <v>5_S235_SL10311085_p3_2st_S_2050_</v>
      </c>
      <c r="AK458" t="str">
        <f t="shared" si="71"/>
        <v>S</v>
      </c>
      <c r="AM458" t="s">
        <v>1674</v>
      </c>
      <c r="AZ458" s="64" t="s">
        <v>1617</v>
      </c>
      <c r="BX458" t="s">
        <v>1691</v>
      </c>
      <c r="BY458">
        <v>5</v>
      </c>
      <c r="BZ458" t="s">
        <v>1692</v>
      </c>
      <c r="CA458" t="s">
        <v>1693</v>
      </c>
      <c r="CB458" t="s">
        <v>1895</v>
      </c>
      <c r="CR458" t="s">
        <v>2042</v>
      </c>
      <c r="CT458" t="s">
        <v>19</v>
      </c>
      <c r="CW458" t="b">
        <f t="shared" si="72"/>
        <v>1</v>
      </c>
      <c r="CX458" t="b">
        <f t="shared" si="73"/>
        <v>1</v>
      </c>
      <c r="CY458" t="b">
        <f t="shared" si="74"/>
        <v>1</v>
      </c>
      <c r="CZ458" t="b">
        <f t="shared" si="75"/>
        <v>1</v>
      </c>
    </row>
    <row r="459" spans="1:104">
      <c r="A459" s="32" t="s">
        <v>980</v>
      </c>
      <c r="B459" s="32" t="s">
        <v>83</v>
      </c>
      <c r="C459" s="23">
        <v>4</v>
      </c>
      <c r="D459" s="23">
        <v>3670100</v>
      </c>
      <c r="E459" s="23">
        <v>2</v>
      </c>
      <c r="F459" s="23">
        <v>3.1E-2</v>
      </c>
      <c r="G459" s="23" t="s">
        <v>89</v>
      </c>
      <c r="H459" s="23">
        <v>50</v>
      </c>
      <c r="I459" s="23" t="s">
        <v>85</v>
      </c>
      <c r="J459" s="23">
        <v>311</v>
      </c>
      <c r="K459" s="23" t="s">
        <v>188</v>
      </c>
      <c r="L459" s="23" t="s">
        <v>974</v>
      </c>
      <c r="M459" s="23"/>
      <c r="N459" s="23"/>
      <c r="O459" s="23"/>
      <c r="P459" s="23"/>
      <c r="Q459" s="23"/>
      <c r="R459" s="23"/>
      <c r="S459" s="23" t="s">
        <v>64</v>
      </c>
      <c r="T459" s="23"/>
      <c r="U459" s="23" t="s">
        <v>87</v>
      </c>
      <c r="V459" s="23"/>
      <c r="W459" s="33">
        <v>0</v>
      </c>
      <c r="Y459" t="s">
        <v>161</v>
      </c>
      <c r="Z459" t="s">
        <v>53</v>
      </c>
      <c r="AA459" t="s">
        <v>51</v>
      </c>
      <c r="AB459" t="s">
        <v>894</v>
      </c>
      <c r="AF459" t="s">
        <v>1437</v>
      </c>
      <c r="AG459" t="s">
        <v>58</v>
      </c>
      <c r="AI459" t="str">
        <f t="shared" si="70"/>
        <v>5_S235_SL10311085_p4_2st_GS_2050_</v>
      </c>
      <c r="AK459" t="str">
        <f t="shared" si="71"/>
        <v>GS</v>
      </c>
      <c r="AM459" t="s">
        <v>1674</v>
      </c>
      <c r="AZ459" s="64" t="s">
        <v>1618</v>
      </c>
      <c r="BX459" t="s">
        <v>1691</v>
      </c>
      <c r="BY459">
        <v>5</v>
      </c>
      <c r="BZ459" t="s">
        <v>1692</v>
      </c>
      <c r="CA459" t="s">
        <v>1693</v>
      </c>
      <c r="CB459" t="s">
        <v>1895</v>
      </c>
      <c r="CR459" t="s">
        <v>2043</v>
      </c>
      <c r="CT459" t="s">
        <v>1903</v>
      </c>
      <c r="CW459" t="b">
        <f t="shared" si="72"/>
        <v>1</v>
      </c>
      <c r="CX459" t="b">
        <f t="shared" si="73"/>
        <v>1</v>
      </c>
      <c r="CY459" t="b">
        <f t="shared" si="74"/>
        <v>1</v>
      </c>
      <c r="CZ459" t="b">
        <f t="shared" si="75"/>
        <v>1</v>
      </c>
    </row>
    <row r="460" spans="1:104">
      <c r="A460" s="32" t="s">
        <v>981</v>
      </c>
      <c r="B460" s="32" t="s">
        <v>83</v>
      </c>
      <c r="C460" s="23">
        <v>5</v>
      </c>
      <c r="D460" s="23">
        <v>3670100</v>
      </c>
      <c r="E460" s="23">
        <v>2</v>
      </c>
      <c r="F460" s="23">
        <v>6.0000000000000001E-3</v>
      </c>
      <c r="G460" s="23" t="s">
        <v>89</v>
      </c>
      <c r="H460" s="23">
        <v>37</v>
      </c>
      <c r="I460" s="23" t="s">
        <v>85</v>
      </c>
      <c r="J460" s="23">
        <v>89</v>
      </c>
      <c r="K460" s="23" t="s">
        <v>188</v>
      </c>
      <c r="L460" s="23" t="s">
        <v>974</v>
      </c>
      <c r="M460" s="23"/>
      <c r="N460" s="23"/>
      <c r="O460" s="23"/>
      <c r="P460" s="23"/>
      <c r="Q460" s="23"/>
      <c r="R460" s="23"/>
      <c r="S460" s="23" t="s">
        <v>64</v>
      </c>
      <c r="T460" s="23"/>
      <c r="U460" s="23" t="s">
        <v>87</v>
      </c>
      <c r="V460" s="23"/>
      <c r="W460" s="33">
        <v>0</v>
      </c>
      <c r="Y460" t="s">
        <v>161</v>
      </c>
      <c r="Z460" t="s">
        <v>53</v>
      </c>
      <c r="AA460" t="s">
        <v>51</v>
      </c>
      <c r="AB460" t="s">
        <v>894</v>
      </c>
      <c r="AF460" t="s">
        <v>1437</v>
      </c>
      <c r="AG460" t="s">
        <v>58</v>
      </c>
      <c r="AI460" t="str">
        <f t="shared" si="70"/>
        <v>5_S235_SL10311085_p5_2st_S_2050_</v>
      </c>
      <c r="AK460" t="str">
        <f t="shared" si="71"/>
        <v>S</v>
      </c>
      <c r="AM460" t="s">
        <v>1674</v>
      </c>
      <c r="AZ460" s="64" t="s">
        <v>1619</v>
      </c>
      <c r="BX460" t="s">
        <v>1691</v>
      </c>
      <c r="BY460">
        <v>5</v>
      </c>
      <c r="BZ460" t="s">
        <v>1692</v>
      </c>
      <c r="CA460" t="s">
        <v>1693</v>
      </c>
      <c r="CB460" t="s">
        <v>1895</v>
      </c>
      <c r="CR460" t="s">
        <v>2044</v>
      </c>
      <c r="CT460" t="s">
        <v>19</v>
      </c>
      <c r="CW460" t="b">
        <f t="shared" si="72"/>
        <v>1</v>
      </c>
      <c r="CX460" t="b">
        <f t="shared" si="73"/>
        <v>1</v>
      </c>
      <c r="CY460" t="b">
        <f t="shared" si="74"/>
        <v>1</v>
      </c>
      <c r="CZ460" t="b">
        <f t="shared" si="75"/>
        <v>1</v>
      </c>
    </row>
    <row r="461" spans="1:104" hidden="1">
      <c r="A461" s="32" t="s">
        <v>982</v>
      </c>
      <c r="B461" s="32" t="s">
        <v>79</v>
      </c>
      <c r="C461" s="23">
        <v>101</v>
      </c>
      <c r="D461" s="23">
        <v>2868700</v>
      </c>
      <c r="E461" s="23">
        <v>2</v>
      </c>
      <c r="F461" s="23"/>
      <c r="G461" s="23" t="s">
        <v>52</v>
      </c>
      <c r="H461" s="23" t="s">
        <v>983</v>
      </c>
      <c r="I461" s="23"/>
      <c r="J461" s="23"/>
      <c r="K461" s="23" t="s">
        <v>984</v>
      </c>
      <c r="L461" s="23" t="s">
        <v>974</v>
      </c>
      <c r="M461" s="23"/>
      <c r="N461" s="23"/>
      <c r="O461" s="23"/>
      <c r="P461" s="23"/>
      <c r="Q461" s="23"/>
      <c r="R461" s="23"/>
      <c r="S461" s="23" t="s">
        <v>64</v>
      </c>
      <c r="T461" s="23"/>
      <c r="U461" s="23" t="s">
        <v>17</v>
      </c>
      <c r="V461" s="23"/>
      <c r="W461" s="33">
        <v>8.2000000000000003E-2</v>
      </c>
      <c r="Y461" t="s">
        <v>124</v>
      </c>
      <c r="Z461" t="s">
        <v>53</v>
      </c>
      <c r="AA461" t="s">
        <v>51</v>
      </c>
      <c r="AB461" t="s">
        <v>894</v>
      </c>
      <c r="AF461" t="s">
        <v>1437</v>
      </c>
      <c r="AG461" t="s">
        <v>58</v>
      </c>
      <c r="BX461" t="s">
        <v>1713</v>
      </c>
      <c r="BY461" t="s">
        <v>983</v>
      </c>
      <c r="BZ461" t="s">
        <v>1819</v>
      </c>
      <c r="CA461" s="76">
        <v>46242</v>
      </c>
      <c r="CB461" t="s">
        <v>1715</v>
      </c>
      <c r="CC461" t="s">
        <v>1716</v>
      </c>
    </row>
    <row r="462" spans="1:104" hidden="1">
      <c r="A462" s="32" t="s">
        <v>985</v>
      </c>
      <c r="B462" s="32" t="s">
        <v>79</v>
      </c>
      <c r="C462" s="23">
        <v>102</v>
      </c>
      <c r="D462" s="23">
        <v>24707900</v>
      </c>
      <c r="E462" s="23">
        <v>2</v>
      </c>
      <c r="F462" s="23"/>
      <c r="G462" s="23" t="s">
        <v>52</v>
      </c>
      <c r="H462" s="23" t="s">
        <v>275</v>
      </c>
      <c r="I462" s="23"/>
      <c r="J462" s="23"/>
      <c r="K462" s="23" t="s">
        <v>276</v>
      </c>
      <c r="L462" s="23" t="s">
        <v>974</v>
      </c>
      <c r="M462" s="23"/>
      <c r="N462" s="23"/>
      <c r="O462" s="23"/>
      <c r="P462" s="23"/>
      <c r="Q462" s="23"/>
      <c r="R462" s="23"/>
      <c r="S462" s="23" t="s">
        <v>64</v>
      </c>
      <c r="T462" s="23"/>
      <c r="U462" s="23" t="s">
        <v>17</v>
      </c>
      <c r="V462" s="23"/>
      <c r="W462" s="33">
        <v>1.7000000000000001E-2</v>
      </c>
      <c r="Y462" t="s">
        <v>124</v>
      </c>
      <c r="Z462" t="s">
        <v>53</v>
      </c>
      <c r="AA462" t="s">
        <v>51</v>
      </c>
      <c r="AB462" t="s">
        <v>894</v>
      </c>
      <c r="AF462" t="s">
        <v>1437</v>
      </c>
      <c r="AG462" t="s">
        <v>58</v>
      </c>
      <c r="BX462" t="s">
        <v>1717</v>
      </c>
      <c r="BY462" t="s">
        <v>275</v>
      </c>
      <c r="BZ462" t="s">
        <v>1718</v>
      </c>
      <c r="CA462">
        <v>8</v>
      </c>
      <c r="CB462" t="s">
        <v>1715</v>
      </c>
      <c r="CC462" t="s">
        <v>1716</v>
      </c>
    </row>
    <row r="463" spans="1:104" hidden="1">
      <c r="A463" s="32" t="s">
        <v>986</v>
      </c>
      <c r="B463" s="32" t="s">
        <v>79</v>
      </c>
      <c r="C463" s="23">
        <v>103</v>
      </c>
      <c r="D463" s="23">
        <v>2552100</v>
      </c>
      <c r="E463" s="23">
        <v>4</v>
      </c>
      <c r="F463" s="23"/>
      <c r="G463" s="23" t="s">
        <v>52</v>
      </c>
      <c r="H463" s="23"/>
      <c r="I463" s="23"/>
      <c r="J463" s="23"/>
      <c r="K463" s="23" t="s">
        <v>987</v>
      </c>
      <c r="L463" s="23" t="s">
        <v>974</v>
      </c>
      <c r="M463" s="23"/>
      <c r="N463" s="23"/>
      <c r="O463" s="23"/>
      <c r="P463" s="23"/>
      <c r="Q463" s="23"/>
      <c r="R463" s="23"/>
      <c r="S463" s="23" t="s">
        <v>64</v>
      </c>
      <c r="T463" s="23"/>
      <c r="U463" s="23" t="s">
        <v>17</v>
      </c>
      <c r="V463" s="23"/>
      <c r="W463" s="33">
        <v>1E-3</v>
      </c>
      <c r="Y463" t="s">
        <v>124</v>
      </c>
      <c r="Z463" t="s">
        <v>53</v>
      </c>
      <c r="AA463" t="s">
        <v>51</v>
      </c>
      <c r="AB463" t="s">
        <v>894</v>
      </c>
      <c r="AF463" t="s">
        <v>1437</v>
      </c>
      <c r="AG463" t="s">
        <v>58</v>
      </c>
      <c r="BX463" t="s">
        <v>1719</v>
      </c>
      <c r="BY463">
        <v>12</v>
      </c>
      <c r="BZ463" t="s">
        <v>1707</v>
      </c>
      <c r="CA463" t="s">
        <v>1748</v>
      </c>
      <c r="CB463" t="s">
        <v>1820</v>
      </c>
    </row>
    <row r="464" spans="1:104" hidden="1">
      <c r="A464" s="29" t="s">
        <v>988</v>
      </c>
      <c r="B464" s="29" t="s">
        <v>74</v>
      </c>
      <c r="C464" s="30">
        <v>5</v>
      </c>
      <c r="D464" s="30" t="s">
        <v>989</v>
      </c>
      <c r="E464" s="30">
        <v>7</v>
      </c>
      <c r="F464" s="30"/>
      <c r="G464" s="30" t="s">
        <v>52</v>
      </c>
      <c r="H464" s="30"/>
      <c r="I464" s="30"/>
      <c r="J464" s="30"/>
      <c r="K464" s="30" t="s">
        <v>990</v>
      </c>
      <c r="L464" s="30" t="s">
        <v>989</v>
      </c>
      <c r="M464" s="30">
        <v>3</v>
      </c>
      <c r="N464" s="30"/>
      <c r="O464" s="23"/>
      <c r="P464" s="23"/>
      <c r="Q464" s="23"/>
      <c r="R464" s="23"/>
      <c r="S464" s="23" t="s">
        <v>64</v>
      </c>
      <c r="T464" s="23"/>
      <c r="U464" s="23" t="s">
        <v>54</v>
      </c>
      <c r="V464" s="23"/>
      <c r="W464" s="31">
        <v>3.15</v>
      </c>
      <c r="Y464" t="s">
        <v>40</v>
      </c>
      <c r="Z464" t="s">
        <v>53</v>
      </c>
      <c r="AA464" t="s">
        <v>51</v>
      </c>
      <c r="AB464" t="s">
        <v>894</v>
      </c>
      <c r="AF464" t="s">
        <v>1437</v>
      </c>
      <c r="AG464" t="s">
        <v>58</v>
      </c>
      <c r="BX464" t="s">
        <v>990</v>
      </c>
    </row>
    <row r="465" spans="1:104" hidden="1">
      <c r="A465" s="29" t="s">
        <v>991</v>
      </c>
      <c r="B465" s="29" t="s">
        <v>79</v>
      </c>
      <c r="C465" s="30">
        <v>1</v>
      </c>
      <c r="D465" s="30" t="s">
        <v>992</v>
      </c>
      <c r="E465" s="30">
        <v>14</v>
      </c>
      <c r="F465" s="30"/>
      <c r="G465" s="30" t="s">
        <v>52</v>
      </c>
      <c r="H465" s="30"/>
      <c r="I465" s="30"/>
      <c r="J465" s="30"/>
      <c r="K465" s="30" t="s">
        <v>993</v>
      </c>
      <c r="L465" s="30" t="s">
        <v>992</v>
      </c>
      <c r="M465" s="30">
        <v>3</v>
      </c>
      <c r="N465" s="30"/>
      <c r="O465" s="23"/>
      <c r="P465" s="23"/>
      <c r="Q465" s="23"/>
      <c r="R465" s="23"/>
      <c r="S465" s="23" t="s">
        <v>64</v>
      </c>
      <c r="T465" s="23"/>
      <c r="U465" s="23" t="s">
        <v>54</v>
      </c>
      <c r="V465" s="23"/>
      <c r="W465" s="31">
        <v>1.5</v>
      </c>
      <c r="Y465" t="s">
        <v>40</v>
      </c>
      <c r="Z465" t="s">
        <v>53</v>
      </c>
      <c r="AA465" t="s">
        <v>51</v>
      </c>
      <c r="AB465" t="s">
        <v>894</v>
      </c>
      <c r="AC465" t="s">
        <v>1420</v>
      </c>
      <c r="AF465" t="s">
        <v>1437</v>
      </c>
      <c r="AG465" t="s">
        <v>58</v>
      </c>
      <c r="BX465" t="s">
        <v>993</v>
      </c>
    </row>
    <row r="466" spans="1:104" hidden="1">
      <c r="A466" s="32" t="s">
        <v>994</v>
      </c>
      <c r="B466" s="32" t="s">
        <v>83</v>
      </c>
      <c r="C466" s="23">
        <v>2</v>
      </c>
      <c r="D466" s="23">
        <v>3670100</v>
      </c>
      <c r="E466" s="23">
        <v>14</v>
      </c>
      <c r="F466" s="23">
        <v>0.56200000000000006</v>
      </c>
      <c r="G466" s="23" t="s">
        <v>89</v>
      </c>
      <c r="H466" s="23">
        <v>266</v>
      </c>
      <c r="I466" s="23" t="s">
        <v>85</v>
      </c>
      <c r="J466" s="23">
        <v>150</v>
      </c>
      <c r="K466" s="23" t="s">
        <v>188</v>
      </c>
      <c r="L466" s="23" t="s">
        <v>992</v>
      </c>
      <c r="M466" s="23"/>
      <c r="N466" s="23"/>
      <c r="O466" s="23"/>
      <c r="P466" s="23"/>
      <c r="Q466" s="23"/>
      <c r="R466" s="23"/>
      <c r="S466" s="23" t="s">
        <v>64</v>
      </c>
      <c r="T466" s="23"/>
      <c r="U466" s="23" t="s">
        <v>87</v>
      </c>
      <c r="V466" s="23"/>
      <c r="W466" s="33">
        <v>0</v>
      </c>
      <c r="Y466" t="s">
        <v>161</v>
      </c>
      <c r="Z466" t="s">
        <v>53</v>
      </c>
      <c r="AA466" t="s">
        <v>51</v>
      </c>
      <c r="AB466" t="s">
        <v>894</v>
      </c>
      <c r="AC466" t="s">
        <v>1420</v>
      </c>
      <c r="AF466" t="s">
        <v>1437</v>
      </c>
      <c r="AG466" t="s">
        <v>58</v>
      </c>
      <c r="AI466" t="str">
        <f>BY466&amp;"_"&amp;CB466&amp;"_"&amp;L466&amp;"_p"&amp;C466&amp;"_"&amp;E466&amp;"st_"&amp;AK466&amp;"_"&amp;RIGHT(AG466,4)&amp;"_"&amp;AL466</f>
        <v>5_S235_SL40062245_p2_14st__2050_</v>
      </c>
      <c r="AM466" t="s">
        <v>1673</v>
      </c>
      <c r="AZ466" s="64" t="s">
        <v>1620</v>
      </c>
      <c r="BA466" s="64" t="s">
        <v>1621</v>
      </c>
      <c r="BX466" t="s">
        <v>1691</v>
      </c>
      <c r="BY466">
        <v>5</v>
      </c>
      <c r="BZ466" t="s">
        <v>1692</v>
      </c>
      <c r="CA466" t="s">
        <v>1693</v>
      </c>
      <c r="CB466" t="s">
        <v>1895</v>
      </c>
      <c r="CG466">
        <v>5</v>
      </c>
      <c r="CH466" t="s">
        <v>1895</v>
      </c>
      <c r="CI466" t="s">
        <v>992</v>
      </c>
      <c r="CJ466" t="s">
        <v>1901</v>
      </c>
      <c r="CK466" t="s">
        <v>1927</v>
      </c>
      <c r="CL466" t="s">
        <v>1900</v>
      </c>
      <c r="CM466">
        <v>3902</v>
      </c>
      <c r="CR466" t="s">
        <v>2045</v>
      </c>
    </row>
    <row r="467" spans="1:104" hidden="1">
      <c r="A467" s="32" t="s">
        <v>995</v>
      </c>
      <c r="B467" s="32" t="s">
        <v>79</v>
      </c>
      <c r="C467" s="23">
        <v>101</v>
      </c>
      <c r="D467" s="23">
        <v>25397900</v>
      </c>
      <c r="E467" s="23">
        <v>14</v>
      </c>
      <c r="F467" s="23"/>
      <c r="G467" s="23" t="s">
        <v>52</v>
      </c>
      <c r="H467" s="23" t="s">
        <v>280</v>
      </c>
      <c r="I467" s="23"/>
      <c r="J467" s="23"/>
      <c r="K467" s="23" t="s">
        <v>329</v>
      </c>
      <c r="L467" s="23" t="s">
        <v>992</v>
      </c>
      <c r="M467" s="23"/>
      <c r="N467" s="23"/>
      <c r="O467" s="23"/>
      <c r="P467" s="23"/>
      <c r="Q467" s="23"/>
      <c r="R467" s="23"/>
      <c r="S467" s="23" t="s">
        <v>64</v>
      </c>
      <c r="T467" s="23"/>
      <c r="U467" s="23" t="s">
        <v>17</v>
      </c>
      <c r="V467" s="23"/>
      <c r="W467" s="33">
        <v>3.7999999999999999E-2</v>
      </c>
      <c r="Y467" t="s">
        <v>124</v>
      </c>
      <c r="Z467" t="s">
        <v>53</v>
      </c>
      <c r="AA467" t="s">
        <v>51</v>
      </c>
      <c r="AB467" t="s">
        <v>894</v>
      </c>
      <c r="AF467" t="s">
        <v>1437</v>
      </c>
      <c r="AG467" t="s">
        <v>58</v>
      </c>
      <c r="BX467" t="s">
        <v>1713</v>
      </c>
      <c r="BY467" t="s">
        <v>280</v>
      </c>
      <c r="BZ467" t="s">
        <v>1714</v>
      </c>
      <c r="CA467" s="76">
        <v>46242</v>
      </c>
      <c r="CB467" t="s">
        <v>1715</v>
      </c>
      <c r="CC467" t="s">
        <v>1716</v>
      </c>
    </row>
    <row r="468" spans="1:104" hidden="1">
      <c r="A468" s="32" t="s">
        <v>996</v>
      </c>
      <c r="B468" s="32" t="s">
        <v>79</v>
      </c>
      <c r="C468" s="23">
        <v>102</v>
      </c>
      <c r="D468" s="23">
        <v>24707900</v>
      </c>
      <c r="E468" s="23">
        <v>14</v>
      </c>
      <c r="F468" s="23"/>
      <c r="G468" s="23" t="s">
        <v>52</v>
      </c>
      <c r="H468" s="23" t="s">
        <v>275</v>
      </c>
      <c r="I468" s="23"/>
      <c r="J468" s="23"/>
      <c r="K468" s="23" t="s">
        <v>276</v>
      </c>
      <c r="L468" s="23" t="s">
        <v>992</v>
      </c>
      <c r="M468" s="23"/>
      <c r="N468" s="23"/>
      <c r="O468" s="23"/>
      <c r="P468" s="23"/>
      <c r="Q468" s="23"/>
      <c r="R468" s="23"/>
      <c r="S468" s="23" t="s">
        <v>64</v>
      </c>
      <c r="T468" s="23"/>
      <c r="U468" s="23" t="s">
        <v>17</v>
      </c>
      <c r="V468" s="23"/>
      <c r="W468" s="33">
        <v>1.7000000000000001E-2</v>
      </c>
      <c r="Y468" t="s">
        <v>124</v>
      </c>
      <c r="Z468" t="s">
        <v>53</v>
      </c>
      <c r="AA468" t="s">
        <v>51</v>
      </c>
      <c r="AB468" t="s">
        <v>894</v>
      </c>
      <c r="AF468" t="s">
        <v>1437</v>
      </c>
      <c r="AG468" t="s">
        <v>58</v>
      </c>
      <c r="BX468" t="s">
        <v>1717</v>
      </c>
      <c r="BY468" t="s">
        <v>275</v>
      </c>
      <c r="BZ468" t="s">
        <v>1718</v>
      </c>
      <c r="CA468">
        <v>8</v>
      </c>
      <c r="CB468" t="s">
        <v>1715</v>
      </c>
      <c r="CC468" t="s">
        <v>1716</v>
      </c>
    </row>
    <row r="469" spans="1:104" hidden="1">
      <c r="A469" s="32" t="s">
        <v>997</v>
      </c>
      <c r="B469" s="32" t="s">
        <v>79</v>
      </c>
      <c r="C469" s="23">
        <v>103</v>
      </c>
      <c r="D469" s="23">
        <v>24484200</v>
      </c>
      <c r="E469" s="23">
        <v>28</v>
      </c>
      <c r="F469" s="23"/>
      <c r="G469" s="23" t="s">
        <v>52</v>
      </c>
      <c r="H469" s="23">
        <v>13</v>
      </c>
      <c r="I469" s="23"/>
      <c r="J469" s="23"/>
      <c r="K469" s="23" t="s">
        <v>278</v>
      </c>
      <c r="L469" s="23" t="s">
        <v>992</v>
      </c>
      <c r="M469" s="23"/>
      <c r="N469" s="23"/>
      <c r="O469" s="23"/>
      <c r="P469" s="23"/>
      <c r="Q469" s="23"/>
      <c r="R469" s="23"/>
      <c r="S469" s="23" t="s">
        <v>64</v>
      </c>
      <c r="T469" s="23"/>
      <c r="U469" s="23" t="s">
        <v>17</v>
      </c>
      <c r="V469" s="23"/>
      <c r="W469" s="33">
        <v>0.01</v>
      </c>
      <c r="Y469" t="s">
        <v>124</v>
      </c>
      <c r="Z469" t="s">
        <v>53</v>
      </c>
      <c r="AA469" t="s">
        <v>51</v>
      </c>
      <c r="AB469" t="s">
        <v>894</v>
      </c>
      <c r="AF469" t="s">
        <v>1437</v>
      </c>
      <c r="AG469" t="s">
        <v>58</v>
      </c>
      <c r="BX469" t="s">
        <v>1719</v>
      </c>
      <c r="BY469">
        <v>13</v>
      </c>
      <c r="BZ469" t="s">
        <v>763</v>
      </c>
      <c r="CA469" t="s">
        <v>1720</v>
      </c>
      <c r="CB469" t="s">
        <v>1721</v>
      </c>
    </row>
    <row r="470" spans="1:104" hidden="1">
      <c r="A470" s="29" t="s">
        <v>998</v>
      </c>
      <c r="B470" s="29" t="s">
        <v>74</v>
      </c>
      <c r="C470" s="30">
        <v>6</v>
      </c>
      <c r="D470" s="30" t="s">
        <v>999</v>
      </c>
      <c r="E470" s="30">
        <v>2</v>
      </c>
      <c r="F470" s="30"/>
      <c r="G470" s="30" t="s">
        <v>52</v>
      </c>
      <c r="H470" s="30"/>
      <c r="I470" s="30"/>
      <c r="J470" s="30"/>
      <c r="K470" s="30" t="s">
        <v>1000</v>
      </c>
      <c r="L470" s="30" t="s">
        <v>999</v>
      </c>
      <c r="M470" s="30">
        <v>3</v>
      </c>
      <c r="N470" s="30"/>
      <c r="O470" s="23"/>
      <c r="P470" s="23"/>
      <c r="Q470" s="23"/>
      <c r="R470" s="23"/>
      <c r="S470" s="23" t="s">
        <v>64</v>
      </c>
      <c r="T470" s="23"/>
      <c r="U470" s="23" t="s">
        <v>54</v>
      </c>
      <c r="V470" s="23"/>
      <c r="W470" s="31">
        <v>3.2</v>
      </c>
      <c r="Y470" t="s">
        <v>40</v>
      </c>
      <c r="Z470" t="s">
        <v>53</v>
      </c>
      <c r="AA470" t="s">
        <v>51</v>
      </c>
      <c r="AB470" t="s">
        <v>894</v>
      </c>
      <c r="AF470" t="s">
        <v>1437</v>
      </c>
      <c r="AG470" t="s">
        <v>58</v>
      </c>
      <c r="BX470" t="s">
        <v>1000</v>
      </c>
    </row>
    <row r="471" spans="1:104" hidden="1">
      <c r="A471" s="29" t="s">
        <v>1001</v>
      </c>
      <c r="B471" s="29" t="s">
        <v>79</v>
      </c>
      <c r="C471" s="30">
        <v>1</v>
      </c>
      <c r="D471" s="30" t="s">
        <v>1002</v>
      </c>
      <c r="E471" s="30">
        <v>2</v>
      </c>
      <c r="F471" s="30"/>
      <c r="G471" s="30" t="s">
        <v>52</v>
      </c>
      <c r="H471" s="30"/>
      <c r="I471" s="30"/>
      <c r="J471" s="30"/>
      <c r="K471" s="30" t="s">
        <v>1003</v>
      </c>
      <c r="L471" s="30" t="s">
        <v>1002</v>
      </c>
      <c r="M471" s="30">
        <v>3</v>
      </c>
      <c r="N471" s="30"/>
      <c r="O471" s="23"/>
      <c r="P471" s="23"/>
      <c r="Q471" s="23"/>
      <c r="R471" s="23"/>
      <c r="S471" s="23" t="s">
        <v>64</v>
      </c>
      <c r="T471" s="23"/>
      <c r="U471" s="23" t="s">
        <v>54</v>
      </c>
      <c r="V471" s="23"/>
      <c r="W471" s="31">
        <v>1.6040000000000001</v>
      </c>
      <c r="Y471" t="s">
        <v>40</v>
      </c>
      <c r="Z471" t="s">
        <v>53</v>
      </c>
      <c r="AA471" t="s">
        <v>51</v>
      </c>
      <c r="AB471" t="s">
        <v>894</v>
      </c>
      <c r="AF471" t="s">
        <v>1437</v>
      </c>
      <c r="AG471" t="s">
        <v>58</v>
      </c>
      <c r="BX471" t="s">
        <v>1003</v>
      </c>
    </row>
    <row r="472" spans="1:104">
      <c r="A472" s="32" t="s">
        <v>1004</v>
      </c>
      <c r="B472" s="32" t="s">
        <v>83</v>
      </c>
      <c r="C472" s="23">
        <v>1</v>
      </c>
      <c r="D472" s="23">
        <v>8300</v>
      </c>
      <c r="E472" s="23">
        <v>2</v>
      </c>
      <c r="F472" s="23">
        <v>0.13900000000000001</v>
      </c>
      <c r="G472" s="23" t="s">
        <v>89</v>
      </c>
      <c r="H472" s="23">
        <v>215</v>
      </c>
      <c r="I472" s="23" t="s">
        <v>85</v>
      </c>
      <c r="J472" s="23">
        <v>322</v>
      </c>
      <c r="K472" s="23" t="s">
        <v>166</v>
      </c>
      <c r="L472" s="23" t="s">
        <v>1002</v>
      </c>
      <c r="M472" s="23"/>
      <c r="N472" s="23"/>
      <c r="O472" s="23"/>
      <c r="P472" s="23"/>
      <c r="Q472" s="23"/>
      <c r="R472" s="23"/>
      <c r="S472" s="23" t="s">
        <v>64</v>
      </c>
      <c r="T472" s="23"/>
      <c r="U472" s="23" t="s">
        <v>87</v>
      </c>
      <c r="V472" s="23"/>
      <c r="W472" s="33">
        <v>0</v>
      </c>
      <c r="Y472" t="s">
        <v>161</v>
      </c>
      <c r="Z472" t="s">
        <v>53</v>
      </c>
      <c r="AA472" t="s">
        <v>51</v>
      </c>
      <c r="AB472" t="s">
        <v>894</v>
      </c>
      <c r="AF472" t="s">
        <v>1437</v>
      </c>
      <c r="AG472" t="s">
        <v>58</v>
      </c>
      <c r="AI472" t="str">
        <f>BY472&amp;"_"&amp;CB472&amp;"_"&amp;L472&amp;"_p"&amp;C472&amp;"_"&amp;E472&amp;"st_"&amp;AK472&amp;"_"&amp;RIGHT(AG472,4)&amp;"_"&amp;AL472</f>
        <v>8_S235_SL40062124_p1_2st_G_2050_P</v>
      </c>
      <c r="AJ472" t="s">
        <v>1431</v>
      </c>
      <c r="AK472" t="str">
        <f>CT472</f>
        <v>G</v>
      </c>
      <c r="AL472" t="str">
        <f>CU472</f>
        <v>P</v>
      </c>
      <c r="AM472" t="s">
        <v>1674</v>
      </c>
      <c r="AZ472" s="64" t="s">
        <v>1622</v>
      </c>
      <c r="BA472" s="64" t="s">
        <v>1623</v>
      </c>
      <c r="BX472" t="s">
        <v>1691</v>
      </c>
      <c r="BY472">
        <v>8</v>
      </c>
      <c r="BZ472" t="s">
        <v>1692</v>
      </c>
      <c r="CA472" t="s">
        <v>1736</v>
      </c>
      <c r="CB472" t="s">
        <v>1895</v>
      </c>
      <c r="CG472">
        <v>8</v>
      </c>
      <c r="CH472" t="s">
        <v>1895</v>
      </c>
      <c r="CI472" t="s">
        <v>1002</v>
      </c>
      <c r="CJ472" t="s">
        <v>1898</v>
      </c>
      <c r="CK472" t="s">
        <v>1900</v>
      </c>
      <c r="CR472" t="s">
        <v>2046</v>
      </c>
      <c r="CS472" t="s">
        <v>1431</v>
      </c>
      <c r="CT472" t="s">
        <v>1900</v>
      </c>
      <c r="CU472" t="s">
        <v>1910</v>
      </c>
      <c r="CW472" t="b">
        <f>AI472=CR472</f>
        <v>1</v>
      </c>
      <c r="CX472" t="b">
        <f t="shared" ref="CX472" si="76">AJ472=CS472</f>
        <v>1</v>
      </c>
      <c r="CY472" t="b">
        <f t="shared" ref="CY472" si="77">AK472=CT472</f>
        <v>1</v>
      </c>
      <c r="CZ472" t="b">
        <f t="shared" ref="CZ472" si="78">AL472=CU472</f>
        <v>1</v>
      </c>
    </row>
    <row r="473" spans="1:104" hidden="1">
      <c r="A473" s="29" t="s">
        <v>1005</v>
      </c>
      <c r="B473" s="29" t="s">
        <v>79</v>
      </c>
      <c r="C473" s="30">
        <v>2</v>
      </c>
      <c r="D473" s="30" t="s">
        <v>1006</v>
      </c>
      <c r="E473" s="30">
        <v>2</v>
      </c>
      <c r="F473" s="30"/>
      <c r="G473" s="30" t="s">
        <v>52</v>
      </c>
      <c r="H473" s="30"/>
      <c r="I473" s="30"/>
      <c r="J473" s="30"/>
      <c r="K473" s="30" t="s">
        <v>1003</v>
      </c>
      <c r="L473" s="30" t="s">
        <v>1002</v>
      </c>
      <c r="M473" s="30">
        <v>3</v>
      </c>
      <c r="N473" s="30"/>
      <c r="O473" s="23"/>
      <c r="P473" s="23"/>
      <c r="Q473" s="23"/>
      <c r="R473" s="23"/>
      <c r="S473" s="23" t="s">
        <v>64</v>
      </c>
      <c r="T473" s="23"/>
      <c r="U473" s="23" t="s">
        <v>54</v>
      </c>
      <c r="V473" s="23"/>
      <c r="W473" s="31">
        <v>1.6040000000000001</v>
      </c>
      <c r="Y473" t="s">
        <v>40</v>
      </c>
      <c r="Z473" t="s">
        <v>53</v>
      </c>
      <c r="AA473" t="s">
        <v>51</v>
      </c>
      <c r="AB473" t="s">
        <v>894</v>
      </c>
      <c r="AF473" t="s">
        <v>1437</v>
      </c>
      <c r="AG473" t="s">
        <v>58</v>
      </c>
      <c r="BX473" t="s">
        <v>1003</v>
      </c>
    </row>
    <row r="474" spans="1:104">
      <c r="A474" s="32" t="s">
        <v>1007</v>
      </c>
      <c r="B474" s="32" t="s">
        <v>83</v>
      </c>
      <c r="C474" s="23">
        <v>2</v>
      </c>
      <c r="D474" s="23">
        <v>8300</v>
      </c>
      <c r="E474" s="23">
        <v>2</v>
      </c>
      <c r="F474" s="23">
        <v>0.13900000000000001</v>
      </c>
      <c r="G474" s="23" t="s">
        <v>89</v>
      </c>
      <c r="H474" s="23">
        <v>215</v>
      </c>
      <c r="I474" s="23" t="s">
        <v>85</v>
      </c>
      <c r="J474" s="23">
        <v>322</v>
      </c>
      <c r="K474" s="23" t="s">
        <v>166</v>
      </c>
      <c r="L474" s="23" t="s">
        <v>1002</v>
      </c>
      <c r="M474" s="23"/>
      <c r="N474" s="23"/>
      <c r="O474" s="23"/>
      <c r="P474" s="23"/>
      <c r="Q474" s="23"/>
      <c r="R474" s="23"/>
      <c r="S474" s="23" t="s">
        <v>64</v>
      </c>
      <c r="T474" s="23"/>
      <c r="U474" s="23" t="s">
        <v>87</v>
      </c>
      <c r="V474" s="23"/>
      <c r="W474" s="33">
        <v>0</v>
      </c>
      <c r="Y474" t="s">
        <v>161</v>
      </c>
      <c r="Z474" t="s">
        <v>53</v>
      </c>
      <c r="AA474" t="s">
        <v>51</v>
      </c>
      <c r="AB474" t="s">
        <v>894</v>
      </c>
      <c r="AF474" t="s">
        <v>1437</v>
      </c>
      <c r="AG474" t="s">
        <v>58</v>
      </c>
      <c r="AI474" t="str">
        <f>BY474&amp;"_"&amp;CB474&amp;"_"&amp;L474&amp;"_p"&amp;C474&amp;"_"&amp;E474&amp;"st_"&amp;AK474&amp;"_"&amp;RIGHT(AG474,4)&amp;"_"&amp;AL474</f>
        <v>8_S235_SL40062124_p2_2st_G_2050_L</v>
      </c>
      <c r="AJ474" t="s">
        <v>1433</v>
      </c>
      <c r="AK474" t="str">
        <f>CT474</f>
        <v>G</v>
      </c>
      <c r="AL474" t="str">
        <f>CU474</f>
        <v>L</v>
      </c>
      <c r="AM474" t="s">
        <v>1674</v>
      </c>
      <c r="AZ474" s="64" t="s">
        <v>1624</v>
      </c>
      <c r="BA474" s="64" t="s">
        <v>1625</v>
      </c>
      <c r="BX474" t="s">
        <v>1691</v>
      </c>
      <c r="BY474">
        <v>8</v>
      </c>
      <c r="BZ474" t="s">
        <v>1692</v>
      </c>
      <c r="CA474" t="s">
        <v>1736</v>
      </c>
      <c r="CB474" t="s">
        <v>1895</v>
      </c>
      <c r="CG474">
        <v>8</v>
      </c>
      <c r="CH474" t="s">
        <v>1895</v>
      </c>
      <c r="CI474" t="s">
        <v>1002</v>
      </c>
      <c r="CJ474" t="s">
        <v>1901</v>
      </c>
      <c r="CK474" t="s">
        <v>1900</v>
      </c>
      <c r="CR474" t="s">
        <v>2047</v>
      </c>
      <c r="CS474" t="s">
        <v>1433</v>
      </c>
      <c r="CT474" t="s">
        <v>1900</v>
      </c>
      <c r="CU474" t="s">
        <v>54</v>
      </c>
      <c r="CW474" t="b">
        <f>AI474=CR474</f>
        <v>1</v>
      </c>
      <c r="CX474" t="b">
        <f t="shared" ref="CX474" si="79">AJ474=CS474</f>
        <v>1</v>
      </c>
      <c r="CY474" t="b">
        <f t="shared" ref="CY474" si="80">AK474=CT474</f>
        <v>1</v>
      </c>
      <c r="CZ474" t="b">
        <f t="shared" ref="CZ474" si="81">AL474=CU474</f>
        <v>1</v>
      </c>
    </row>
    <row r="475" spans="1:104" hidden="1">
      <c r="A475" s="32" t="s">
        <v>1008</v>
      </c>
      <c r="B475" s="32" t="s">
        <v>79</v>
      </c>
      <c r="C475" s="23">
        <v>101</v>
      </c>
      <c r="D475" s="23">
        <v>24724300</v>
      </c>
      <c r="E475" s="23">
        <v>8</v>
      </c>
      <c r="F475" s="23"/>
      <c r="G475" s="23" t="s">
        <v>52</v>
      </c>
      <c r="H475" s="23" t="s">
        <v>226</v>
      </c>
      <c r="I475" s="23"/>
      <c r="J475" s="23"/>
      <c r="K475" s="23" t="s">
        <v>227</v>
      </c>
      <c r="L475" s="23" t="s">
        <v>1002</v>
      </c>
      <c r="M475" s="23"/>
      <c r="N475" s="23"/>
      <c r="O475" s="23"/>
      <c r="P475" s="23"/>
      <c r="Q475" s="23"/>
      <c r="R475" s="23"/>
      <c r="S475" s="23" t="s">
        <v>64</v>
      </c>
      <c r="T475" s="23"/>
      <c r="U475" s="23" t="s">
        <v>17</v>
      </c>
      <c r="V475" s="23"/>
      <c r="W475" s="33">
        <v>2.5999999999999999E-2</v>
      </c>
      <c r="Y475" t="s">
        <v>124</v>
      </c>
      <c r="Z475" t="s">
        <v>53</v>
      </c>
      <c r="AA475" t="s">
        <v>51</v>
      </c>
      <c r="AB475" t="s">
        <v>894</v>
      </c>
      <c r="AF475" t="s">
        <v>1437</v>
      </c>
      <c r="AG475" t="s">
        <v>58</v>
      </c>
      <c r="BX475" t="s">
        <v>1713</v>
      </c>
      <c r="BY475" t="s">
        <v>1741</v>
      </c>
      <c r="BZ475" t="s">
        <v>1714</v>
      </c>
      <c r="CA475" s="76">
        <v>46242</v>
      </c>
      <c r="CB475" t="s">
        <v>1740</v>
      </c>
    </row>
    <row r="476" spans="1:104" hidden="1">
      <c r="A476" s="32" t="s">
        <v>1009</v>
      </c>
      <c r="B476" s="32" t="s">
        <v>79</v>
      </c>
      <c r="C476" s="23">
        <v>102</v>
      </c>
      <c r="D476" s="23">
        <v>24398500</v>
      </c>
      <c r="E476" s="23">
        <v>8</v>
      </c>
      <c r="F476" s="23"/>
      <c r="G476" s="23" t="s">
        <v>52</v>
      </c>
      <c r="H476" s="23" t="s">
        <v>229</v>
      </c>
      <c r="I476" s="23"/>
      <c r="J476" s="23"/>
      <c r="K476" s="23" t="s">
        <v>230</v>
      </c>
      <c r="L476" s="23" t="s">
        <v>1002</v>
      </c>
      <c r="M476" s="23"/>
      <c r="N476" s="23"/>
      <c r="O476" s="23"/>
      <c r="P476" s="23"/>
      <c r="Q476" s="23"/>
      <c r="R476" s="23"/>
      <c r="S476" s="23" t="s">
        <v>64</v>
      </c>
      <c r="T476" s="23"/>
      <c r="U476" s="23" t="s">
        <v>17</v>
      </c>
      <c r="V476" s="23"/>
      <c r="W476" s="33">
        <v>7.0000000000000001E-3</v>
      </c>
      <c r="Y476" t="s">
        <v>124</v>
      </c>
      <c r="Z476" t="s">
        <v>53</v>
      </c>
      <c r="AA476" t="s">
        <v>51</v>
      </c>
      <c r="AB476" t="s">
        <v>894</v>
      </c>
      <c r="AF476" t="s">
        <v>1437</v>
      </c>
      <c r="AG476" t="s">
        <v>58</v>
      </c>
      <c r="BX476" t="s">
        <v>1717</v>
      </c>
      <c r="BY476" t="s">
        <v>229</v>
      </c>
      <c r="BZ476" t="s">
        <v>1718</v>
      </c>
      <c r="CA476">
        <v>8</v>
      </c>
      <c r="CB476" t="s">
        <v>1740</v>
      </c>
    </row>
    <row r="477" spans="1:104" hidden="1">
      <c r="A477" s="32" t="s">
        <v>1010</v>
      </c>
      <c r="B477" s="32" t="s">
        <v>79</v>
      </c>
      <c r="C477" s="23">
        <v>103</v>
      </c>
      <c r="D477" s="23">
        <v>24389600</v>
      </c>
      <c r="E477" s="23">
        <v>16</v>
      </c>
      <c r="F477" s="23"/>
      <c r="G477" s="23" t="s">
        <v>52</v>
      </c>
      <c r="H477" s="23">
        <v>10.5</v>
      </c>
      <c r="I477" s="23"/>
      <c r="J477" s="23"/>
      <c r="K477" s="23" t="s">
        <v>232</v>
      </c>
      <c r="L477" s="23" t="s">
        <v>1002</v>
      </c>
      <c r="M477" s="23"/>
      <c r="N477" s="23"/>
      <c r="O477" s="23"/>
      <c r="P477" s="23"/>
      <c r="Q477" s="23"/>
      <c r="R477" s="23"/>
      <c r="S477" s="23" t="s">
        <v>64</v>
      </c>
      <c r="T477" s="23"/>
      <c r="U477" s="23" t="s">
        <v>17</v>
      </c>
      <c r="V477" s="23"/>
      <c r="W477" s="33">
        <v>4.0000000000000001E-3</v>
      </c>
      <c r="Y477" t="s">
        <v>124</v>
      </c>
      <c r="Z477" t="s">
        <v>53</v>
      </c>
      <c r="AA477" t="s">
        <v>51</v>
      </c>
      <c r="AB477" t="s">
        <v>894</v>
      </c>
      <c r="AF477" t="s">
        <v>1437</v>
      </c>
      <c r="AG477" t="s">
        <v>58</v>
      </c>
      <c r="BX477" t="s">
        <v>1719</v>
      </c>
      <c r="BY477">
        <v>10.5</v>
      </c>
      <c r="BZ477" t="s">
        <v>763</v>
      </c>
      <c r="CA477" t="s">
        <v>1720</v>
      </c>
      <c r="CB477" t="s">
        <v>1721</v>
      </c>
    </row>
    <row r="478" spans="1:104" hidden="1">
      <c r="A478" s="32" t="s">
        <v>1011</v>
      </c>
      <c r="B478" s="32" t="s">
        <v>79</v>
      </c>
      <c r="C478" s="23">
        <v>104</v>
      </c>
      <c r="D478" s="23">
        <v>2414300</v>
      </c>
      <c r="E478" s="23">
        <v>8</v>
      </c>
      <c r="F478" s="23"/>
      <c r="G478" s="23" t="s">
        <v>52</v>
      </c>
      <c r="H478" s="23"/>
      <c r="I478" s="23"/>
      <c r="J478" s="23"/>
      <c r="K478" s="23" t="s">
        <v>1012</v>
      </c>
      <c r="L478" s="23" t="s">
        <v>1002</v>
      </c>
      <c r="M478" s="23"/>
      <c r="N478" s="23"/>
      <c r="O478" s="23"/>
      <c r="P478" s="23"/>
      <c r="Q478" s="23"/>
      <c r="R478" s="23"/>
      <c r="S478" s="23" t="s">
        <v>64</v>
      </c>
      <c r="T478" s="23"/>
      <c r="U478" s="23" t="s">
        <v>17</v>
      </c>
      <c r="V478" s="23"/>
      <c r="W478" s="33">
        <v>0.04</v>
      </c>
      <c r="Y478" t="s">
        <v>124</v>
      </c>
      <c r="Z478" t="s">
        <v>53</v>
      </c>
      <c r="AA478" t="s">
        <v>51</v>
      </c>
      <c r="AB478" t="s">
        <v>894</v>
      </c>
      <c r="AF478" t="s">
        <v>1437</v>
      </c>
      <c r="AG478" t="s">
        <v>58</v>
      </c>
      <c r="BX478" t="s">
        <v>1719</v>
      </c>
      <c r="BY478">
        <v>17</v>
      </c>
      <c r="BZ478" t="s">
        <v>1707</v>
      </c>
      <c r="CA478" t="s">
        <v>1821</v>
      </c>
      <c r="CB478" t="s">
        <v>1822</v>
      </c>
    </row>
    <row r="479" spans="1:104" hidden="1">
      <c r="A479" s="32" t="s">
        <v>1013</v>
      </c>
      <c r="B479" s="32" t="s">
        <v>79</v>
      </c>
      <c r="C479" s="23">
        <v>105</v>
      </c>
      <c r="D479" s="23">
        <v>2792900</v>
      </c>
      <c r="E479" s="23">
        <v>8</v>
      </c>
      <c r="F479" s="23"/>
      <c r="G479" s="23" t="s">
        <v>52</v>
      </c>
      <c r="H479" s="23" t="s">
        <v>357</v>
      </c>
      <c r="I479" s="23"/>
      <c r="J479" s="23"/>
      <c r="K479" s="23" t="s">
        <v>390</v>
      </c>
      <c r="L479" s="23" t="s">
        <v>1002</v>
      </c>
      <c r="M479" s="23"/>
      <c r="N479" s="23"/>
      <c r="O479" s="23"/>
      <c r="P479" s="23"/>
      <c r="Q479" s="23"/>
      <c r="R479" s="23"/>
      <c r="S479" s="23" t="s">
        <v>64</v>
      </c>
      <c r="T479" s="23"/>
      <c r="U479" s="23" t="s">
        <v>17</v>
      </c>
      <c r="V479" s="23"/>
      <c r="W479" s="33">
        <v>0.02</v>
      </c>
      <c r="Y479" t="s">
        <v>124</v>
      </c>
      <c r="Z479" t="s">
        <v>53</v>
      </c>
      <c r="AA479" t="s">
        <v>51</v>
      </c>
      <c r="AB479" t="s">
        <v>894</v>
      </c>
      <c r="AF479" t="s">
        <v>1437</v>
      </c>
      <c r="AG479" t="s">
        <v>58</v>
      </c>
      <c r="BX479" t="s">
        <v>1717</v>
      </c>
      <c r="BY479" t="s">
        <v>357</v>
      </c>
      <c r="BZ479" t="s">
        <v>1762</v>
      </c>
      <c r="CA479">
        <v>4</v>
      </c>
      <c r="CB479" t="s">
        <v>1740</v>
      </c>
    </row>
    <row r="480" spans="1:104" hidden="1">
      <c r="A480" s="29" t="s">
        <v>1014</v>
      </c>
      <c r="B480" s="29" t="s">
        <v>74</v>
      </c>
      <c r="C480" s="30">
        <v>7</v>
      </c>
      <c r="D480" s="30" t="s">
        <v>1015</v>
      </c>
      <c r="E480" s="30">
        <v>1</v>
      </c>
      <c r="F480" s="30"/>
      <c r="G480" s="30" t="s">
        <v>52</v>
      </c>
      <c r="H480" s="30"/>
      <c r="I480" s="30"/>
      <c r="J480" s="30"/>
      <c r="K480" s="30" t="s">
        <v>727</v>
      </c>
      <c r="L480" s="30" t="s">
        <v>1015</v>
      </c>
      <c r="M480" s="30">
        <v>3</v>
      </c>
      <c r="N480" s="30"/>
      <c r="O480" s="23"/>
      <c r="P480" s="23"/>
      <c r="Q480" s="23"/>
      <c r="R480" s="23"/>
      <c r="S480" s="23" t="s">
        <v>64</v>
      </c>
      <c r="T480" s="23"/>
      <c r="U480" s="23" t="s">
        <v>54</v>
      </c>
      <c r="V480" s="23"/>
      <c r="W480" s="31">
        <v>2</v>
      </c>
      <c r="Y480" t="s">
        <v>40</v>
      </c>
      <c r="Z480" t="s">
        <v>53</v>
      </c>
      <c r="AA480" t="s">
        <v>51</v>
      </c>
      <c r="AB480" t="s">
        <v>894</v>
      </c>
      <c r="AF480" t="s">
        <v>1437</v>
      </c>
      <c r="AG480" t="s">
        <v>58</v>
      </c>
      <c r="BX480" t="s">
        <v>727</v>
      </c>
    </row>
    <row r="481" spans="1:104" hidden="1">
      <c r="A481" s="29" t="s">
        <v>1016</v>
      </c>
      <c r="B481" s="29" t="s">
        <v>79</v>
      </c>
      <c r="C481" s="30">
        <v>1</v>
      </c>
      <c r="D481" s="30" t="s">
        <v>1017</v>
      </c>
      <c r="E481" s="30">
        <v>2</v>
      </c>
      <c r="F481" s="30"/>
      <c r="G481" s="30" t="s">
        <v>52</v>
      </c>
      <c r="H481" s="30"/>
      <c r="I481" s="30"/>
      <c r="J481" s="30"/>
      <c r="K481" s="30" t="s">
        <v>730</v>
      </c>
      <c r="L481" s="30" t="s">
        <v>1017</v>
      </c>
      <c r="M481" s="30">
        <v>3</v>
      </c>
      <c r="N481" s="30"/>
      <c r="O481" s="23"/>
      <c r="P481" s="23"/>
      <c r="Q481" s="23"/>
      <c r="R481" s="23"/>
      <c r="S481" s="23" t="s">
        <v>64</v>
      </c>
      <c r="T481" s="23"/>
      <c r="U481" s="23" t="s">
        <v>54</v>
      </c>
      <c r="V481" s="23"/>
      <c r="W481" s="31">
        <v>1</v>
      </c>
      <c r="Y481" t="s">
        <v>40</v>
      </c>
      <c r="Z481" t="s">
        <v>53</v>
      </c>
      <c r="AA481" t="s">
        <v>51</v>
      </c>
      <c r="AB481" t="s">
        <v>894</v>
      </c>
      <c r="AC481" t="s">
        <v>1420</v>
      </c>
      <c r="AF481" t="s">
        <v>1437</v>
      </c>
      <c r="AG481" t="s">
        <v>58</v>
      </c>
      <c r="BX481" t="s">
        <v>730</v>
      </c>
    </row>
    <row r="482" spans="1:104" hidden="1">
      <c r="A482" s="32" t="s">
        <v>1018</v>
      </c>
      <c r="B482" s="32" t="s">
        <v>83</v>
      </c>
      <c r="C482" s="23">
        <v>1</v>
      </c>
      <c r="D482" s="23">
        <v>8300</v>
      </c>
      <c r="E482" s="23">
        <v>2</v>
      </c>
      <c r="F482" s="23">
        <v>4.1000000000000002E-2</v>
      </c>
      <c r="G482" s="23" t="s">
        <v>89</v>
      </c>
      <c r="H482" s="23">
        <v>80</v>
      </c>
      <c r="I482" s="23" t="s">
        <v>85</v>
      </c>
      <c r="J482" s="23">
        <v>252</v>
      </c>
      <c r="K482" s="23" t="s">
        <v>166</v>
      </c>
      <c r="L482" s="23" t="s">
        <v>1017</v>
      </c>
      <c r="M482" s="23"/>
      <c r="N482" s="23"/>
      <c r="O482" s="23"/>
      <c r="P482" s="23"/>
      <c r="Q482" s="23"/>
      <c r="R482" s="23"/>
      <c r="S482" s="23" t="s">
        <v>64</v>
      </c>
      <c r="T482" s="23"/>
      <c r="U482" s="23" t="s">
        <v>87</v>
      </c>
      <c r="V482" s="23"/>
      <c r="W482" s="33">
        <v>0</v>
      </c>
      <c r="Y482" t="s">
        <v>161</v>
      </c>
      <c r="Z482" t="s">
        <v>53</v>
      </c>
      <c r="AA482" t="s">
        <v>51</v>
      </c>
      <c r="AB482" t="s">
        <v>894</v>
      </c>
      <c r="AC482" t="s">
        <v>1420</v>
      </c>
      <c r="AF482" t="s">
        <v>1437</v>
      </c>
      <c r="AG482" t="s">
        <v>58</v>
      </c>
      <c r="AI482" t="str">
        <f>BY482&amp;"_"&amp;CB482&amp;"_"&amp;L482&amp;"_p"&amp;C482&amp;"_"&amp;E482&amp;"st_"&amp;AK482&amp;"_"&amp;RIGHT(AG482,4)&amp;"_"&amp;AL482</f>
        <v>8_S235_SL40062225_p1_2st__2050_</v>
      </c>
      <c r="AM482" t="s">
        <v>1673</v>
      </c>
      <c r="AZ482" s="64" t="s">
        <v>1626</v>
      </c>
      <c r="BA482" s="64" t="s">
        <v>1627</v>
      </c>
      <c r="BX482" t="s">
        <v>1691</v>
      </c>
      <c r="BY482">
        <v>8</v>
      </c>
      <c r="BZ482" t="s">
        <v>1692</v>
      </c>
      <c r="CA482" t="s">
        <v>1736</v>
      </c>
      <c r="CB482" t="s">
        <v>1895</v>
      </c>
      <c r="CG482">
        <v>8</v>
      </c>
      <c r="CH482" t="s">
        <v>1895</v>
      </c>
      <c r="CI482" t="s">
        <v>1017</v>
      </c>
      <c r="CJ482" t="s">
        <v>1898</v>
      </c>
      <c r="CK482" t="s">
        <v>1924</v>
      </c>
      <c r="CL482" t="s">
        <v>1900</v>
      </c>
      <c r="CM482">
        <v>766</v>
      </c>
      <c r="CR482" t="s">
        <v>2048</v>
      </c>
    </row>
    <row r="483" spans="1:104" hidden="1">
      <c r="A483" s="32" t="s">
        <v>1019</v>
      </c>
      <c r="B483" s="32" t="s">
        <v>79</v>
      </c>
      <c r="C483" s="23">
        <v>101</v>
      </c>
      <c r="D483" s="23">
        <v>25397900</v>
      </c>
      <c r="E483" s="23">
        <v>4</v>
      </c>
      <c r="F483" s="23"/>
      <c r="G483" s="23" t="s">
        <v>52</v>
      </c>
      <c r="H483" s="23" t="s">
        <v>280</v>
      </c>
      <c r="I483" s="23"/>
      <c r="J483" s="23"/>
      <c r="K483" s="23" t="s">
        <v>329</v>
      </c>
      <c r="L483" s="23" t="s">
        <v>1017</v>
      </c>
      <c r="M483" s="23"/>
      <c r="N483" s="23"/>
      <c r="O483" s="23"/>
      <c r="P483" s="23"/>
      <c r="Q483" s="23"/>
      <c r="R483" s="23"/>
      <c r="S483" s="23" t="s">
        <v>64</v>
      </c>
      <c r="T483" s="23"/>
      <c r="U483" s="23" t="s">
        <v>17</v>
      </c>
      <c r="V483" s="23"/>
      <c r="W483" s="33">
        <v>3.7999999999999999E-2</v>
      </c>
      <c r="Y483" t="s">
        <v>124</v>
      </c>
      <c r="Z483" t="s">
        <v>53</v>
      </c>
      <c r="AA483" t="s">
        <v>51</v>
      </c>
      <c r="AB483" t="s">
        <v>894</v>
      </c>
      <c r="AF483" t="s">
        <v>1437</v>
      </c>
      <c r="AG483" t="s">
        <v>58</v>
      </c>
      <c r="BX483" t="s">
        <v>1713</v>
      </c>
      <c r="BY483" t="s">
        <v>280</v>
      </c>
      <c r="BZ483" t="s">
        <v>1714</v>
      </c>
      <c r="CA483" s="76">
        <v>46242</v>
      </c>
      <c r="CB483" t="s">
        <v>1715</v>
      </c>
      <c r="CC483" t="s">
        <v>1716</v>
      </c>
    </row>
    <row r="484" spans="1:104" hidden="1">
      <c r="A484" s="32" t="s">
        <v>1020</v>
      </c>
      <c r="B484" s="32" t="s">
        <v>79</v>
      </c>
      <c r="C484" s="23">
        <v>102</v>
      </c>
      <c r="D484" s="23">
        <v>24707900</v>
      </c>
      <c r="E484" s="23">
        <v>4</v>
      </c>
      <c r="F484" s="23"/>
      <c r="G484" s="23" t="s">
        <v>52</v>
      </c>
      <c r="H484" s="23" t="s">
        <v>275</v>
      </c>
      <c r="I484" s="23"/>
      <c r="J484" s="23"/>
      <c r="K484" s="23" t="s">
        <v>276</v>
      </c>
      <c r="L484" s="23" t="s">
        <v>1017</v>
      </c>
      <c r="M484" s="23"/>
      <c r="N484" s="23"/>
      <c r="O484" s="23"/>
      <c r="P484" s="23"/>
      <c r="Q484" s="23"/>
      <c r="R484" s="23"/>
      <c r="S484" s="23" t="s">
        <v>64</v>
      </c>
      <c r="T484" s="23"/>
      <c r="U484" s="23" t="s">
        <v>17</v>
      </c>
      <c r="V484" s="23"/>
      <c r="W484" s="33">
        <v>1.7000000000000001E-2</v>
      </c>
      <c r="Y484" t="s">
        <v>124</v>
      </c>
      <c r="Z484" t="s">
        <v>53</v>
      </c>
      <c r="AA484" t="s">
        <v>51</v>
      </c>
      <c r="AB484" t="s">
        <v>894</v>
      </c>
      <c r="AF484" t="s">
        <v>1437</v>
      </c>
      <c r="AG484" t="s">
        <v>58</v>
      </c>
      <c r="BX484" t="s">
        <v>1717</v>
      </c>
      <c r="BY484" t="s">
        <v>275</v>
      </c>
      <c r="BZ484" t="s">
        <v>1718</v>
      </c>
      <c r="CA484">
        <v>8</v>
      </c>
      <c r="CB484" t="s">
        <v>1715</v>
      </c>
      <c r="CC484" t="s">
        <v>1716</v>
      </c>
    </row>
    <row r="485" spans="1:104" hidden="1">
      <c r="A485" s="32" t="s">
        <v>1021</v>
      </c>
      <c r="B485" s="32" t="s">
        <v>79</v>
      </c>
      <c r="C485" s="23">
        <v>103</v>
      </c>
      <c r="D485" s="23">
        <v>24484200</v>
      </c>
      <c r="E485" s="23">
        <v>8</v>
      </c>
      <c r="F485" s="23"/>
      <c r="G485" s="23" t="s">
        <v>52</v>
      </c>
      <c r="H485" s="23">
        <v>13</v>
      </c>
      <c r="I485" s="23"/>
      <c r="J485" s="23"/>
      <c r="K485" s="23" t="s">
        <v>278</v>
      </c>
      <c r="L485" s="23" t="s">
        <v>1017</v>
      </c>
      <c r="M485" s="23"/>
      <c r="N485" s="23"/>
      <c r="O485" s="23"/>
      <c r="P485" s="23"/>
      <c r="Q485" s="23"/>
      <c r="R485" s="23"/>
      <c r="S485" s="23" t="s">
        <v>64</v>
      </c>
      <c r="T485" s="23"/>
      <c r="U485" s="23" t="s">
        <v>17</v>
      </c>
      <c r="V485" s="23"/>
      <c r="W485" s="33">
        <v>0.01</v>
      </c>
      <c r="Y485" t="s">
        <v>124</v>
      </c>
      <c r="Z485" t="s">
        <v>53</v>
      </c>
      <c r="AA485" t="s">
        <v>51</v>
      </c>
      <c r="AB485" t="s">
        <v>894</v>
      </c>
      <c r="AF485" t="s">
        <v>1437</v>
      </c>
      <c r="AG485" t="s">
        <v>58</v>
      </c>
      <c r="BX485" t="s">
        <v>1719</v>
      </c>
      <c r="BY485">
        <v>13</v>
      </c>
      <c r="BZ485" t="s">
        <v>763</v>
      </c>
      <c r="CA485" t="s">
        <v>1720</v>
      </c>
      <c r="CB485" t="s">
        <v>1721</v>
      </c>
    </row>
    <row r="486" spans="1:104" hidden="1">
      <c r="A486" s="32" t="s">
        <v>1022</v>
      </c>
      <c r="B486" s="32" t="s">
        <v>79</v>
      </c>
      <c r="C486" s="23">
        <v>104</v>
      </c>
      <c r="D486" s="23">
        <v>3287000</v>
      </c>
      <c r="E486" s="23">
        <v>4</v>
      </c>
      <c r="F486" s="23"/>
      <c r="G486" s="23" t="s">
        <v>52</v>
      </c>
      <c r="H486" s="23" t="s">
        <v>772</v>
      </c>
      <c r="I486" s="23"/>
      <c r="J486" s="23"/>
      <c r="K486" s="23" t="s">
        <v>773</v>
      </c>
      <c r="L486" s="23" t="s">
        <v>1017</v>
      </c>
      <c r="M486" s="23"/>
      <c r="N486" s="23"/>
      <c r="O486" s="23"/>
      <c r="P486" s="23"/>
      <c r="Q486" s="23"/>
      <c r="R486" s="23"/>
      <c r="S486" s="23" t="s">
        <v>64</v>
      </c>
      <c r="T486" s="23"/>
      <c r="U486" s="23" t="s">
        <v>17</v>
      </c>
      <c r="V486" s="23"/>
      <c r="W486" s="33">
        <v>2.1000000000000001E-2</v>
      </c>
      <c r="Y486" t="s">
        <v>124</v>
      </c>
      <c r="Z486" t="s">
        <v>53</v>
      </c>
      <c r="AA486" t="s">
        <v>51</v>
      </c>
      <c r="AB486" t="s">
        <v>894</v>
      </c>
      <c r="AF486" t="s">
        <v>1437</v>
      </c>
      <c r="AG486" t="s">
        <v>58</v>
      </c>
      <c r="BX486" t="s">
        <v>1719</v>
      </c>
      <c r="BY486" t="s">
        <v>126</v>
      </c>
      <c r="BZ486" t="s">
        <v>1748</v>
      </c>
      <c r="CA486" t="s">
        <v>1749</v>
      </c>
      <c r="CB486" t="s">
        <v>1715</v>
      </c>
      <c r="CC486" t="s">
        <v>1716</v>
      </c>
    </row>
    <row r="487" spans="1:104" hidden="1">
      <c r="A487" s="32" t="s">
        <v>1023</v>
      </c>
      <c r="B487" s="32" t="s">
        <v>79</v>
      </c>
      <c r="C487" s="23">
        <v>105</v>
      </c>
      <c r="D487" s="23">
        <v>1085200</v>
      </c>
      <c r="E487" s="23">
        <v>4</v>
      </c>
      <c r="F487" s="23"/>
      <c r="G487" s="23" t="s">
        <v>52</v>
      </c>
      <c r="H487" s="23" t="s">
        <v>126</v>
      </c>
      <c r="I487" s="23"/>
      <c r="J487" s="23"/>
      <c r="K487" s="23" t="s">
        <v>1024</v>
      </c>
      <c r="L487" s="23" t="s">
        <v>1017</v>
      </c>
      <c r="M487" s="23"/>
      <c r="N487" s="23"/>
      <c r="O487" s="23"/>
      <c r="P487" s="23"/>
      <c r="Q487" s="23"/>
      <c r="R487" s="23"/>
      <c r="S487" s="23" t="s">
        <v>64</v>
      </c>
      <c r="T487" s="23"/>
      <c r="U487" s="23" t="s">
        <v>17</v>
      </c>
      <c r="V487" s="23"/>
      <c r="W487" s="33">
        <v>0</v>
      </c>
      <c r="Y487" t="s">
        <v>124</v>
      </c>
      <c r="Z487" t="s">
        <v>53</v>
      </c>
      <c r="AA487" t="s">
        <v>51</v>
      </c>
      <c r="AB487" t="s">
        <v>894</v>
      </c>
      <c r="AF487" t="s">
        <v>1437</v>
      </c>
      <c r="AG487" t="s">
        <v>58</v>
      </c>
      <c r="BX487" t="s">
        <v>1717</v>
      </c>
      <c r="BY487" t="s">
        <v>126</v>
      </c>
      <c r="BZ487" t="s">
        <v>1762</v>
      </c>
      <c r="CA487">
        <v>4</v>
      </c>
      <c r="CB487" t="s">
        <v>1740</v>
      </c>
    </row>
    <row r="488" spans="1:104" hidden="1">
      <c r="A488" s="29" t="s">
        <v>1025</v>
      </c>
      <c r="B488" s="29" t="s">
        <v>74</v>
      </c>
      <c r="C488" s="30">
        <v>8</v>
      </c>
      <c r="D488" s="30" t="s">
        <v>1026</v>
      </c>
      <c r="E488" s="30">
        <v>2</v>
      </c>
      <c r="F488" s="30"/>
      <c r="G488" s="30" t="s">
        <v>52</v>
      </c>
      <c r="H488" s="30"/>
      <c r="I488" s="30"/>
      <c r="J488" s="30"/>
      <c r="K488" s="30" t="s">
        <v>1027</v>
      </c>
      <c r="L488" s="30" t="s">
        <v>1026</v>
      </c>
      <c r="M488" s="30">
        <v>2</v>
      </c>
      <c r="N488" s="30"/>
      <c r="O488" s="23"/>
      <c r="P488" s="23"/>
      <c r="Q488" s="23"/>
      <c r="R488" s="23"/>
      <c r="S488" s="23" t="s">
        <v>64</v>
      </c>
      <c r="T488" s="23"/>
      <c r="U488" s="23" t="s">
        <v>54</v>
      </c>
      <c r="V488" s="23"/>
      <c r="W488" s="31">
        <v>5.5069999999999997</v>
      </c>
      <c r="Y488" t="s">
        <v>40</v>
      </c>
      <c r="Z488" t="s">
        <v>53</v>
      </c>
      <c r="AA488" t="s">
        <v>51</v>
      </c>
      <c r="AB488" t="s">
        <v>894</v>
      </c>
      <c r="AF488" t="s">
        <v>1437</v>
      </c>
      <c r="AG488" t="s">
        <v>58</v>
      </c>
      <c r="BX488" t="s">
        <v>1027</v>
      </c>
    </row>
    <row r="489" spans="1:104">
      <c r="A489" s="32" t="s">
        <v>1028</v>
      </c>
      <c r="B489" s="32" t="s">
        <v>79</v>
      </c>
      <c r="C489" s="23">
        <v>1</v>
      </c>
      <c r="D489" s="23">
        <v>3670200</v>
      </c>
      <c r="E489" s="23">
        <v>2</v>
      </c>
      <c r="F489" s="23">
        <v>0.157</v>
      </c>
      <c r="G489" s="23" t="s">
        <v>89</v>
      </c>
      <c r="H489" s="23">
        <v>297</v>
      </c>
      <c r="I489" s="23" t="s">
        <v>85</v>
      </c>
      <c r="J489" s="23">
        <v>265</v>
      </c>
      <c r="K489" s="23" t="s">
        <v>238</v>
      </c>
      <c r="L489" s="23" t="s">
        <v>1026</v>
      </c>
      <c r="M489" s="23"/>
      <c r="N489" s="23"/>
      <c r="O489" s="23"/>
      <c r="P489" s="23"/>
      <c r="Q489" s="23"/>
      <c r="R489" s="23"/>
      <c r="S489" s="23" t="s">
        <v>64</v>
      </c>
      <c r="T489" s="23"/>
      <c r="U489" s="23" t="s">
        <v>87</v>
      </c>
      <c r="V489" s="23"/>
      <c r="W489" s="33">
        <v>0</v>
      </c>
      <c r="Y489" t="s">
        <v>161</v>
      </c>
      <c r="Z489" t="s">
        <v>53</v>
      </c>
      <c r="AA489" t="s">
        <v>51</v>
      </c>
      <c r="AB489" t="s">
        <v>894</v>
      </c>
      <c r="AF489" t="s">
        <v>1437</v>
      </c>
      <c r="AG489" t="s">
        <v>58</v>
      </c>
      <c r="AI489" t="str">
        <f t="shared" ref="AI489:AI490" si="82">BY489&amp;"_"&amp;CB489&amp;"_"&amp;L489&amp;"_p"&amp;C489&amp;"_"&amp;E489&amp;"st_"&amp;AK489&amp;"_"&amp;RIGHT(AG489,4)&amp;"_"&amp;AL489</f>
        <v>6_S235_SL41091004_p1_2st_G_2050_P</v>
      </c>
      <c r="AJ489" t="s">
        <v>1431</v>
      </c>
      <c r="AK489" t="str">
        <f t="shared" ref="AK489:AK490" si="83">CT489</f>
        <v>G</v>
      </c>
      <c r="AL489" t="str">
        <f t="shared" ref="AL489:AL490" si="84">CU489</f>
        <v>P</v>
      </c>
      <c r="AM489" t="s">
        <v>1674</v>
      </c>
      <c r="AZ489" s="64" t="s">
        <v>1628</v>
      </c>
      <c r="BA489" s="64" t="s">
        <v>1629</v>
      </c>
      <c r="BX489" t="s">
        <v>1691</v>
      </c>
      <c r="BY489">
        <v>6</v>
      </c>
      <c r="BZ489" t="s">
        <v>1692</v>
      </c>
      <c r="CA489" t="s">
        <v>1693</v>
      </c>
      <c r="CB489" t="s">
        <v>1895</v>
      </c>
      <c r="CG489">
        <v>6</v>
      </c>
      <c r="CH489" t="s">
        <v>1895</v>
      </c>
      <c r="CI489" t="s">
        <v>1026</v>
      </c>
      <c r="CJ489" t="s">
        <v>1898</v>
      </c>
      <c r="CK489" t="s">
        <v>1900</v>
      </c>
      <c r="CR489" t="s">
        <v>2049</v>
      </c>
      <c r="CS489" t="s">
        <v>1431</v>
      </c>
      <c r="CT489" t="s">
        <v>1900</v>
      </c>
      <c r="CU489" t="s">
        <v>1910</v>
      </c>
      <c r="CW489" t="b">
        <f t="shared" ref="CW489:CW490" si="85">AI489=CR489</f>
        <v>1</v>
      </c>
      <c r="CX489" t="b">
        <f t="shared" ref="CX489:CX490" si="86">AJ489=CS489</f>
        <v>1</v>
      </c>
      <c r="CY489" t="b">
        <f t="shared" ref="CY489:CY490" si="87">AK489=CT489</f>
        <v>1</v>
      </c>
      <c r="CZ489" t="b">
        <f t="shared" ref="CZ489:CZ490" si="88">AL489=CU489</f>
        <v>1</v>
      </c>
    </row>
    <row r="490" spans="1:104">
      <c r="A490" s="32" t="s">
        <v>1029</v>
      </c>
      <c r="B490" s="32" t="s">
        <v>79</v>
      </c>
      <c r="C490" s="23">
        <v>2</v>
      </c>
      <c r="D490" s="23">
        <v>3670200</v>
      </c>
      <c r="E490" s="23">
        <v>2</v>
      </c>
      <c r="F490" s="23">
        <v>0.157</v>
      </c>
      <c r="G490" s="23" t="s">
        <v>89</v>
      </c>
      <c r="H490" s="23">
        <v>297</v>
      </c>
      <c r="I490" s="23" t="s">
        <v>85</v>
      </c>
      <c r="J490" s="23">
        <v>265</v>
      </c>
      <c r="K490" s="23" t="s">
        <v>238</v>
      </c>
      <c r="L490" s="23" t="s">
        <v>1026</v>
      </c>
      <c r="M490" s="23"/>
      <c r="N490" s="23"/>
      <c r="O490" s="23"/>
      <c r="P490" s="23"/>
      <c r="Q490" s="23"/>
      <c r="R490" s="23"/>
      <c r="S490" s="23" t="s">
        <v>64</v>
      </c>
      <c r="T490" s="23"/>
      <c r="U490" s="23" t="s">
        <v>87</v>
      </c>
      <c r="V490" s="23"/>
      <c r="W490" s="33">
        <v>0</v>
      </c>
      <c r="Y490" t="s">
        <v>161</v>
      </c>
      <c r="Z490" t="s">
        <v>53</v>
      </c>
      <c r="AA490" t="s">
        <v>51</v>
      </c>
      <c r="AB490" t="s">
        <v>894</v>
      </c>
      <c r="AF490" t="s">
        <v>1437</v>
      </c>
      <c r="AG490" t="s">
        <v>58</v>
      </c>
      <c r="AI490" t="str">
        <f t="shared" si="82"/>
        <v>6_S235_SL41091004_p2_2st_G_2050_L</v>
      </c>
      <c r="AJ490" t="s">
        <v>1433</v>
      </c>
      <c r="AK490" t="str">
        <f t="shared" si="83"/>
        <v>G</v>
      </c>
      <c r="AL490" t="str">
        <f t="shared" si="84"/>
        <v>L</v>
      </c>
      <c r="AM490" t="s">
        <v>1674</v>
      </c>
      <c r="AZ490" s="64" t="s">
        <v>1630</v>
      </c>
      <c r="BA490" s="64" t="s">
        <v>1631</v>
      </c>
      <c r="BX490" t="s">
        <v>1691</v>
      </c>
      <c r="BY490">
        <v>6</v>
      </c>
      <c r="BZ490" t="s">
        <v>1692</v>
      </c>
      <c r="CA490" t="s">
        <v>1693</v>
      </c>
      <c r="CB490" t="s">
        <v>1895</v>
      </c>
      <c r="CG490">
        <v>6</v>
      </c>
      <c r="CH490" t="s">
        <v>1895</v>
      </c>
      <c r="CI490" t="s">
        <v>1026</v>
      </c>
      <c r="CJ490" t="s">
        <v>1901</v>
      </c>
      <c r="CK490" t="s">
        <v>1900</v>
      </c>
      <c r="CR490" t="s">
        <v>2050</v>
      </c>
      <c r="CS490" t="s">
        <v>1433</v>
      </c>
      <c r="CT490" t="s">
        <v>1900</v>
      </c>
      <c r="CU490" t="s">
        <v>54</v>
      </c>
      <c r="CW490" t="b">
        <f t="shared" si="85"/>
        <v>1</v>
      </c>
      <c r="CX490" t="b">
        <f t="shared" si="86"/>
        <v>1</v>
      </c>
      <c r="CY490" t="b">
        <f t="shared" si="87"/>
        <v>1</v>
      </c>
      <c r="CZ490" t="b">
        <f t="shared" si="88"/>
        <v>1</v>
      </c>
    </row>
    <row r="491" spans="1:104" hidden="1">
      <c r="A491" s="32" t="s">
        <v>1030</v>
      </c>
      <c r="B491" s="32" t="s">
        <v>79</v>
      </c>
      <c r="C491" s="23">
        <v>101</v>
      </c>
      <c r="D491" s="23">
        <v>24755600</v>
      </c>
      <c r="E491" s="23">
        <v>8</v>
      </c>
      <c r="F491" s="23"/>
      <c r="G491" s="23" t="s">
        <v>52</v>
      </c>
      <c r="H491" s="23" t="s">
        <v>715</v>
      </c>
      <c r="I491" s="23"/>
      <c r="J491" s="23"/>
      <c r="K491" s="23" t="s">
        <v>716</v>
      </c>
      <c r="L491" s="23" t="s">
        <v>1026</v>
      </c>
      <c r="M491" s="23"/>
      <c r="N491" s="23"/>
      <c r="O491" s="23"/>
      <c r="P491" s="23"/>
      <c r="Q491" s="23"/>
      <c r="R491" s="23"/>
      <c r="S491" s="23" t="s">
        <v>64</v>
      </c>
      <c r="T491" s="23"/>
      <c r="U491" s="23" t="s">
        <v>17</v>
      </c>
      <c r="V491" s="23"/>
      <c r="W491" s="33">
        <v>2.9000000000000001E-2</v>
      </c>
      <c r="Y491" t="s">
        <v>124</v>
      </c>
      <c r="Z491" t="s">
        <v>53</v>
      </c>
      <c r="AA491" t="s">
        <v>51</v>
      </c>
      <c r="AB491" t="s">
        <v>894</v>
      </c>
      <c r="AF491" t="s">
        <v>1437</v>
      </c>
      <c r="AG491" t="s">
        <v>58</v>
      </c>
      <c r="BX491" t="s">
        <v>1713</v>
      </c>
      <c r="BY491" t="s">
        <v>715</v>
      </c>
      <c r="BZ491" t="s">
        <v>1714</v>
      </c>
      <c r="CA491" s="76">
        <v>46242</v>
      </c>
      <c r="CB491" t="s">
        <v>1740</v>
      </c>
    </row>
    <row r="492" spans="1:104" hidden="1">
      <c r="A492" s="32" t="s">
        <v>1031</v>
      </c>
      <c r="B492" s="32" t="s">
        <v>79</v>
      </c>
      <c r="C492" s="23">
        <v>102</v>
      </c>
      <c r="D492" s="23">
        <v>24398500</v>
      </c>
      <c r="E492" s="23">
        <v>8</v>
      </c>
      <c r="F492" s="23"/>
      <c r="G492" s="23" t="s">
        <v>52</v>
      </c>
      <c r="H492" s="23" t="s">
        <v>229</v>
      </c>
      <c r="I492" s="23"/>
      <c r="J492" s="23"/>
      <c r="K492" s="23" t="s">
        <v>230</v>
      </c>
      <c r="L492" s="23" t="s">
        <v>1026</v>
      </c>
      <c r="M492" s="23"/>
      <c r="N492" s="23"/>
      <c r="O492" s="23"/>
      <c r="P492" s="23"/>
      <c r="Q492" s="23"/>
      <c r="R492" s="23"/>
      <c r="S492" s="23" t="s">
        <v>64</v>
      </c>
      <c r="T492" s="23"/>
      <c r="U492" s="23" t="s">
        <v>17</v>
      </c>
      <c r="V492" s="23"/>
      <c r="W492" s="33">
        <v>7.0000000000000001E-3</v>
      </c>
      <c r="Y492" t="s">
        <v>124</v>
      </c>
      <c r="Z492" t="s">
        <v>53</v>
      </c>
      <c r="AA492" t="s">
        <v>51</v>
      </c>
      <c r="AB492" t="s">
        <v>894</v>
      </c>
      <c r="AF492" t="s">
        <v>1437</v>
      </c>
      <c r="AG492" t="s">
        <v>58</v>
      </c>
      <c r="BX492" t="s">
        <v>1717</v>
      </c>
      <c r="BY492" t="s">
        <v>229</v>
      </c>
      <c r="BZ492" t="s">
        <v>1718</v>
      </c>
      <c r="CA492">
        <v>8</v>
      </c>
      <c r="CB492" t="s">
        <v>1740</v>
      </c>
    </row>
    <row r="493" spans="1:104" hidden="1">
      <c r="A493" s="32" t="s">
        <v>1032</v>
      </c>
      <c r="B493" s="32" t="s">
        <v>79</v>
      </c>
      <c r="C493" s="23">
        <v>103</v>
      </c>
      <c r="D493" s="23">
        <v>24389600</v>
      </c>
      <c r="E493" s="23">
        <v>16</v>
      </c>
      <c r="F493" s="23"/>
      <c r="G493" s="23" t="s">
        <v>52</v>
      </c>
      <c r="H493" s="23">
        <v>10.5</v>
      </c>
      <c r="I493" s="23"/>
      <c r="J493" s="23"/>
      <c r="K493" s="23" t="s">
        <v>232</v>
      </c>
      <c r="L493" s="23" t="s">
        <v>1026</v>
      </c>
      <c r="M493" s="23"/>
      <c r="N493" s="23"/>
      <c r="O493" s="23"/>
      <c r="P493" s="23"/>
      <c r="Q493" s="23"/>
      <c r="R493" s="23"/>
      <c r="S493" s="23" t="s">
        <v>64</v>
      </c>
      <c r="T493" s="23"/>
      <c r="U493" s="23" t="s">
        <v>17</v>
      </c>
      <c r="V493" s="23"/>
      <c r="W493" s="33">
        <v>4.0000000000000001E-3</v>
      </c>
      <c r="Y493" t="s">
        <v>124</v>
      </c>
      <c r="Z493" t="s">
        <v>53</v>
      </c>
      <c r="AA493" t="s">
        <v>51</v>
      </c>
      <c r="AB493" t="s">
        <v>894</v>
      </c>
      <c r="AF493" t="s">
        <v>1437</v>
      </c>
      <c r="AG493" t="s">
        <v>58</v>
      </c>
      <c r="BX493" t="s">
        <v>1719</v>
      </c>
      <c r="BY493">
        <v>10.5</v>
      </c>
      <c r="BZ493" t="s">
        <v>763</v>
      </c>
      <c r="CA493" t="s">
        <v>1720</v>
      </c>
      <c r="CB493" t="s">
        <v>1721</v>
      </c>
    </row>
    <row r="494" spans="1:104" hidden="1">
      <c r="A494" s="32" t="s">
        <v>1033</v>
      </c>
      <c r="B494" s="32" t="s">
        <v>79</v>
      </c>
      <c r="C494" s="23">
        <v>104</v>
      </c>
      <c r="D494" s="23">
        <v>7115300</v>
      </c>
      <c r="E494" s="23">
        <v>8</v>
      </c>
      <c r="F494" s="23"/>
      <c r="G494" s="23" t="s">
        <v>52</v>
      </c>
      <c r="H494" s="23" t="s">
        <v>1034</v>
      </c>
      <c r="I494" s="23"/>
      <c r="J494" s="23"/>
      <c r="K494" s="23" t="s">
        <v>1035</v>
      </c>
      <c r="L494" s="23" t="s">
        <v>1026</v>
      </c>
      <c r="M494" s="23"/>
      <c r="N494" s="23"/>
      <c r="O494" s="23"/>
      <c r="P494" s="23"/>
      <c r="Q494" s="23"/>
      <c r="R494" s="23"/>
      <c r="S494" s="23" t="s">
        <v>64</v>
      </c>
      <c r="T494" s="23"/>
      <c r="U494" s="23" t="s">
        <v>17</v>
      </c>
      <c r="V494" s="23"/>
      <c r="W494" s="33">
        <v>0</v>
      </c>
      <c r="Y494" t="s">
        <v>124</v>
      </c>
      <c r="Z494" t="s">
        <v>53</v>
      </c>
      <c r="AA494" t="s">
        <v>51</v>
      </c>
      <c r="AB494" t="s">
        <v>894</v>
      </c>
      <c r="AF494" t="s">
        <v>1437</v>
      </c>
      <c r="AG494" t="s">
        <v>58</v>
      </c>
      <c r="BX494" t="s">
        <v>1713</v>
      </c>
      <c r="BY494" t="s">
        <v>1034</v>
      </c>
      <c r="BZ494" t="s">
        <v>1714</v>
      </c>
      <c r="CA494" s="76">
        <v>46242</v>
      </c>
      <c r="CB494" t="s">
        <v>1740</v>
      </c>
    </row>
    <row r="495" spans="1:104" hidden="1">
      <c r="A495" s="32" t="s">
        <v>1036</v>
      </c>
      <c r="B495" s="32" t="s">
        <v>79</v>
      </c>
      <c r="C495" s="23">
        <v>105</v>
      </c>
      <c r="D495" s="23">
        <v>24398200</v>
      </c>
      <c r="E495" s="23">
        <v>8</v>
      </c>
      <c r="F495" s="23"/>
      <c r="G495" s="23" t="s">
        <v>52</v>
      </c>
      <c r="H495" s="23" t="s">
        <v>1037</v>
      </c>
      <c r="I495" s="23"/>
      <c r="J495" s="23"/>
      <c r="K495" s="23" t="s">
        <v>1038</v>
      </c>
      <c r="L495" s="23" t="s">
        <v>1026</v>
      </c>
      <c r="M495" s="23"/>
      <c r="N495" s="23"/>
      <c r="O495" s="23"/>
      <c r="P495" s="23"/>
      <c r="Q495" s="23"/>
      <c r="R495" s="23"/>
      <c r="S495" s="23" t="s">
        <v>64</v>
      </c>
      <c r="T495" s="23"/>
      <c r="U495" s="23" t="s">
        <v>17</v>
      </c>
      <c r="V495" s="23"/>
      <c r="W495" s="33">
        <v>1E-3</v>
      </c>
      <c r="Y495" t="s">
        <v>124</v>
      </c>
      <c r="Z495" t="s">
        <v>53</v>
      </c>
      <c r="AA495" t="s">
        <v>51</v>
      </c>
      <c r="AB495" t="s">
        <v>894</v>
      </c>
      <c r="AF495" t="s">
        <v>1437</v>
      </c>
      <c r="AG495" t="s">
        <v>58</v>
      </c>
      <c r="BX495" t="s">
        <v>1717</v>
      </c>
      <c r="BY495" t="s">
        <v>1037</v>
      </c>
      <c r="BZ495" t="s">
        <v>1718</v>
      </c>
      <c r="CA495">
        <v>8</v>
      </c>
      <c r="CB495" t="s">
        <v>1740</v>
      </c>
    </row>
    <row r="496" spans="1:104" hidden="1">
      <c r="A496" s="32" t="s">
        <v>1039</v>
      </c>
      <c r="B496" s="32" t="s">
        <v>79</v>
      </c>
      <c r="C496" s="23">
        <v>106</v>
      </c>
      <c r="D496" s="23">
        <v>2797100</v>
      </c>
      <c r="E496" s="23">
        <v>16</v>
      </c>
      <c r="F496" s="23"/>
      <c r="G496" s="23" t="s">
        <v>52</v>
      </c>
      <c r="H496" s="23">
        <v>5.3</v>
      </c>
      <c r="I496" s="23"/>
      <c r="J496" s="23"/>
      <c r="K496" s="23" t="s">
        <v>1040</v>
      </c>
      <c r="L496" s="23" t="s">
        <v>1026</v>
      </c>
      <c r="M496" s="23"/>
      <c r="N496" s="23"/>
      <c r="O496" s="23"/>
      <c r="P496" s="23"/>
      <c r="Q496" s="23"/>
      <c r="R496" s="23"/>
      <c r="S496" s="23" t="s">
        <v>64</v>
      </c>
      <c r="T496" s="23"/>
      <c r="U496" s="23" t="s">
        <v>17</v>
      </c>
      <c r="V496" s="23"/>
      <c r="W496" s="33">
        <v>1E-3</v>
      </c>
      <c r="Y496" t="s">
        <v>124</v>
      </c>
      <c r="Z496" t="s">
        <v>53</v>
      </c>
      <c r="AA496" t="s">
        <v>51</v>
      </c>
      <c r="AB496" t="s">
        <v>894</v>
      </c>
      <c r="AF496" t="s">
        <v>1437</v>
      </c>
      <c r="AG496" t="s">
        <v>58</v>
      </c>
      <c r="BX496" t="s">
        <v>1719</v>
      </c>
      <c r="BY496">
        <v>5.3</v>
      </c>
      <c r="BZ496" t="s">
        <v>763</v>
      </c>
      <c r="CA496" t="s">
        <v>1720</v>
      </c>
      <c r="CB496" t="s">
        <v>1734</v>
      </c>
    </row>
    <row r="497" spans="1:96" hidden="1">
      <c r="A497" s="26" t="s">
        <v>1041</v>
      </c>
      <c r="B497" s="26" t="s">
        <v>62</v>
      </c>
      <c r="C497" s="27">
        <v>7</v>
      </c>
      <c r="D497" s="27" t="s">
        <v>1042</v>
      </c>
      <c r="E497" s="27">
        <v>1</v>
      </c>
      <c r="F497" s="27"/>
      <c r="G497" s="27" t="s">
        <v>52</v>
      </c>
      <c r="H497" s="27"/>
      <c r="I497" s="27"/>
      <c r="J497" s="27"/>
      <c r="K497" s="27" t="s">
        <v>1043</v>
      </c>
      <c r="L497" s="27" t="s">
        <v>1026</v>
      </c>
      <c r="M497" s="27"/>
      <c r="N497" s="27"/>
      <c r="O497" s="30"/>
      <c r="P497" s="30"/>
      <c r="Q497" s="30"/>
      <c r="R497" s="30"/>
      <c r="S497" s="30"/>
      <c r="T497" s="30"/>
      <c r="U497" s="30" t="s">
        <v>54</v>
      </c>
      <c r="V497" s="30"/>
      <c r="W497" s="28">
        <v>876.904</v>
      </c>
      <c r="Y497" t="s">
        <v>40</v>
      </c>
      <c r="Z497" t="s">
        <v>53</v>
      </c>
      <c r="AA497" t="s">
        <v>51</v>
      </c>
      <c r="AB497" t="s">
        <v>1044</v>
      </c>
      <c r="AF497" t="s">
        <v>1437</v>
      </c>
      <c r="AG497" t="s">
        <v>58</v>
      </c>
      <c r="BX497" t="s">
        <v>1043</v>
      </c>
    </row>
    <row r="498" spans="1:96" hidden="1">
      <c r="A498" s="29" t="s">
        <v>1045</v>
      </c>
      <c r="B498" s="29" t="s">
        <v>74</v>
      </c>
      <c r="C498" s="30">
        <v>1</v>
      </c>
      <c r="D498" s="30" t="s">
        <v>1046</v>
      </c>
      <c r="E498" s="30">
        <v>3</v>
      </c>
      <c r="F498" s="30"/>
      <c r="G498" s="30" t="s">
        <v>52</v>
      </c>
      <c r="H498" s="30"/>
      <c r="I498" s="30"/>
      <c r="J498" s="30"/>
      <c r="K498" s="30" t="s">
        <v>1047</v>
      </c>
      <c r="L498" s="30" t="s">
        <v>1046</v>
      </c>
      <c r="M498" s="30">
        <v>1</v>
      </c>
      <c r="N498" s="30" t="s">
        <v>17</v>
      </c>
      <c r="O498" s="23"/>
      <c r="P498" s="23"/>
      <c r="Q498" s="23"/>
      <c r="R498" s="23"/>
      <c r="S498" s="23" t="s">
        <v>64</v>
      </c>
      <c r="T498" s="23"/>
      <c r="U498" s="23" t="s">
        <v>54</v>
      </c>
      <c r="V498" s="23"/>
      <c r="W498" s="31">
        <v>228.636</v>
      </c>
      <c r="Y498" t="s">
        <v>40</v>
      </c>
      <c r="Z498" t="s">
        <v>53</v>
      </c>
      <c r="AA498" t="s">
        <v>51</v>
      </c>
      <c r="AB498" t="s">
        <v>1044</v>
      </c>
      <c r="AF498" t="s">
        <v>1437</v>
      </c>
      <c r="AG498" t="s">
        <v>58</v>
      </c>
      <c r="BX498" t="s">
        <v>1047</v>
      </c>
    </row>
    <row r="499" spans="1:96" hidden="1">
      <c r="A499" s="29" t="s">
        <v>1048</v>
      </c>
      <c r="B499" s="29" t="s">
        <v>79</v>
      </c>
      <c r="C499" s="30">
        <v>1</v>
      </c>
      <c r="D499" s="30" t="s">
        <v>1049</v>
      </c>
      <c r="E499" s="30">
        <v>6</v>
      </c>
      <c r="F499" s="30"/>
      <c r="G499" s="30" t="s">
        <v>52</v>
      </c>
      <c r="H499" s="30"/>
      <c r="I499" s="30"/>
      <c r="J499" s="30"/>
      <c r="K499" s="30" t="s">
        <v>1050</v>
      </c>
      <c r="L499" s="30" t="s">
        <v>1049</v>
      </c>
      <c r="M499" s="30">
        <v>1</v>
      </c>
      <c r="N499" s="30"/>
      <c r="O499" s="23"/>
      <c r="P499" s="23"/>
      <c r="Q499" s="23"/>
      <c r="R499" s="23"/>
      <c r="S499" s="23" t="s">
        <v>64</v>
      </c>
      <c r="T499" s="23"/>
      <c r="U499" s="23" t="s">
        <v>54</v>
      </c>
      <c r="V499" s="23"/>
      <c r="W499" s="31">
        <v>96.47</v>
      </c>
      <c r="Y499" t="s">
        <v>40</v>
      </c>
      <c r="Z499" t="s">
        <v>53</v>
      </c>
      <c r="AA499" t="s">
        <v>51</v>
      </c>
      <c r="AB499" t="s">
        <v>1044</v>
      </c>
      <c r="AC499" t="s">
        <v>1420</v>
      </c>
      <c r="AF499" t="s">
        <v>1437</v>
      </c>
      <c r="AG499" t="s">
        <v>58</v>
      </c>
      <c r="BX499" t="s">
        <v>1050</v>
      </c>
    </row>
    <row r="500" spans="1:96" hidden="1">
      <c r="A500" s="32" t="s">
        <v>1051</v>
      </c>
      <c r="B500" s="32" t="s">
        <v>83</v>
      </c>
      <c r="C500" s="23">
        <v>1</v>
      </c>
      <c r="D500" s="23">
        <v>3740200</v>
      </c>
      <c r="E500" s="23">
        <v>6</v>
      </c>
      <c r="F500" s="23">
        <v>16.318000000000001</v>
      </c>
      <c r="G500" s="23" t="s">
        <v>89</v>
      </c>
      <c r="H500" s="23" t="s">
        <v>1052</v>
      </c>
      <c r="I500" s="23" t="s">
        <v>85</v>
      </c>
      <c r="J500" s="23">
        <v>454</v>
      </c>
      <c r="K500" s="23" t="s">
        <v>92</v>
      </c>
      <c r="L500" s="23" t="s">
        <v>1049</v>
      </c>
      <c r="M500" s="23"/>
      <c r="N500" s="23"/>
      <c r="O500" s="23"/>
      <c r="P500" s="23"/>
      <c r="Q500" s="23"/>
      <c r="R500" s="23"/>
      <c r="S500" s="23" t="s">
        <v>64</v>
      </c>
      <c r="T500" s="23"/>
      <c r="U500" s="23" t="s">
        <v>87</v>
      </c>
      <c r="V500" s="23"/>
      <c r="W500" s="33">
        <v>0</v>
      </c>
      <c r="Y500" t="s">
        <v>161</v>
      </c>
      <c r="Z500" t="s">
        <v>53</v>
      </c>
      <c r="AA500" t="s">
        <v>51</v>
      </c>
      <c r="AB500" t="s">
        <v>1044</v>
      </c>
      <c r="AC500" t="s">
        <v>1420</v>
      </c>
      <c r="AF500" t="s">
        <v>1437</v>
      </c>
      <c r="AG500" t="s">
        <v>58</v>
      </c>
      <c r="AI500" t="str">
        <f>BY500&amp;"_"&amp;CB500&amp;"_"&amp;L500&amp;"_p"&amp;C500&amp;"_"&amp;E500&amp;"st_"&amp;AK500&amp;"_"&amp;RIGHT(AG500,4)&amp;"_"&amp;AL500</f>
        <v>4_S235_SL40071609_p1_6st__2050_</v>
      </c>
      <c r="AM500" t="s">
        <v>1673</v>
      </c>
      <c r="AZ500" s="64" t="s">
        <v>1632</v>
      </c>
      <c r="BA500" s="64" t="s">
        <v>1633</v>
      </c>
      <c r="BX500" t="s">
        <v>1691</v>
      </c>
      <c r="BY500">
        <v>4</v>
      </c>
      <c r="BZ500" t="s">
        <v>1692</v>
      </c>
      <c r="CA500" t="s">
        <v>1693</v>
      </c>
      <c r="CB500" t="s">
        <v>1895</v>
      </c>
      <c r="CG500">
        <v>4</v>
      </c>
      <c r="CH500" t="s">
        <v>1895</v>
      </c>
      <c r="CI500" t="s">
        <v>1049</v>
      </c>
      <c r="CJ500" t="s">
        <v>1898</v>
      </c>
      <c r="CK500" t="s">
        <v>1899</v>
      </c>
      <c r="CL500" t="s">
        <v>1903</v>
      </c>
      <c r="CM500">
        <v>4001</v>
      </c>
      <c r="CN500">
        <v>1</v>
      </c>
      <c r="CR500" t="s">
        <v>2051</v>
      </c>
    </row>
    <row r="501" spans="1:96" hidden="1">
      <c r="A501" s="29" t="s">
        <v>1053</v>
      </c>
      <c r="B501" s="29" t="s">
        <v>83</v>
      </c>
      <c r="C501" s="30">
        <v>2</v>
      </c>
      <c r="D501" s="30" t="s">
        <v>528</v>
      </c>
      <c r="E501" s="30">
        <v>12</v>
      </c>
      <c r="F501" s="30"/>
      <c r="G501" s="30" t="s">
        <v>52</v>
      </c>
      <c r="H501" s="30" t="s">
        <v>529</v>
      </c>
      <c r="I501" s="30"/>
      <c r="J501" s="30"/>
      <c r="K501" s="30" t="s">
        <v>530</v>
      </c>
      <c r="L501" s="30" t="s">
        <v>528</v>
      </c>
      <c r="M501" s="30">
        <v>4</v>
      </c>
      <c r="N501" s="30"/>
      <c r="O501" s="23"/>
      <c r="P501" s="23"/>
      <c r="Q501" s="23"/>
      <c r="R501" s="23"/>
      <c r="S501" s="23" t="s">
        <v>64</v>
      </c>
      <c r="T501" s="23"/>
      <c r="U501" s="23" t="s">
        <v>54</v>
      </c>
      <c r="V501" s="23"/>
      <c r="W501" s="31">
        <v>3.2</v>
      </c>
      <c r="Y501" t="s">
        <v>40</v>
      </c>
      <c r="Z501" t="s">
        <v>53</v>
      </c>
      <c r="AA501" t="s">
        <v>51</v>
      </c>
      <c r="AB501" t="s">
        <v>1044</v>
      </c>
      <c r="AC501" t="s">
        <v>1420</v>
      </c>
      <c r="AF501" t="s">
        <v>1437</v>
      </c>
      <c r="AG501" t="s">
        <v>58</v>
      </c>
      <c r="BX501" t="s">
        <v>530</v>
      </c>
    </row>
    <row r="502" spans="1:96" hidden="1">
      <c r="A502" s="32" t="s">
        <v>1054</v>
      </c>
      <c r="B502" s="32" t="s">
        <v>220</v>
      </c>
      <c r="C502" s="23">
        <v>1</v>
      </c>
      <c r="D502" s="23">
        <v>2900</v>
      </c>
      <c r="E502" s="23">
        <v>12</v>
      </c>
      <c r="F502" s="23"/>
      <c r="G502" s="23" t="s">
        <v>89</v>
      </c>
      <c r="H502" s="23">
        <v>292</v>
      </c>
      <c r="I502" s="23" t="s">
        <v>85</v>
      </c>
      <c r="J502" s="23">
        <v>76</v>
      </c>
      <c r="K502" s="23" t="s">
        <v>532</v>
      </c>
      <c r="L502" s="23" t="s">
        <v>528</v>
      </c>
      <c r="M502" s="23"/>
      <c r="N502" s="23"/>
      <c r="O502" s="23"/>
      <c r="P502" s="23"/>
      <c r="Q502" s="23"/>
      <c r="R502" s="23"/>
      <c r="S502" s="23" t="s">
        <v>64</v>
      </c>
      <c r="T502" s="23"/>
      <c r="U502" s="23" t="s">
        <v>87</v>
      </c>
      <c r="V502" s="23"/>
      <c r="W502" s="33">
        <v>0</v>
      </c>
      <c r="Y502" t="s">
        <v>161</v>
      </c>
      <c r="Z502" t="s">
        <v>53</v>
      </c>
      <c r="AA502" t="s">
        <v>51</v>
      </c>
      <c r="AB502" t="s">
        <v>1044</v>
      </c>
      <c r="AC502" t="s">
        <v>1420</v>
      </c>
      <c r="AF502" t="s">
        <v>1437</v>
      </c>
      <c r="AG502" t="s">
        <v>58</v>
      </c>
      <c r="AI502" t="str">
        <f>BY502&amp;"_"&amp;CB502&amp;"_"&amp;L502&amp;"_p"&amp;C502&amp;"_"&amp;E502&amp;"st_"&amp;AK502&amp;"_"&amp;RIGHT(AG502,4)&amp;"_"&amp;AL502</f>
        <v>20_S235_SL40071932_p1_12st__2050_</v>
      </c>
      <c r="AM502" t="s">
        <v>1673</v>
      </c>
      <c r="AZ502" s="64" t="s">
        <v>1529</v>
      </c>
      <c r="BA502" s="64" t="s">
        <v>1530</v>
      </c>
      <c r="BX502" t="s">
        <v>1691</v>
      </c>
      <c r="BY502">
        <v>20</v>
      </c>
      <c r="BZ502" t="s">
        <v>1692</v>
      </c>
      <c r="CA502" t="s">
        <v>1736</v>
      </c>
      <c r="CB502" t="s">
        <v>1895</v>
      </c>
      <c r="CG502">
        <v>20</v>
      </c>
      <c r="CH502" t="s">
        <v>1895</v>
      </c>
      <c r="CI502" t="s">
        <v>528</v>
      </c>
      <c r="CJ502" t="s">
        <v>1898</v>
      </c>
      <c r="CK502" t="s">
        <v>1920</v>
      </c>
      <c r="CL502" t="s">
        <v>19</v>
      </c>
      <c r="CM502">
        <v>3902</v>
      </c>
      <c r="CR502" t="s">
        <v>2052</v>
      </c>
    </row>
    <row r="503" spans="1:96" hidden="1">
      <c r="A503" s="29" t="s">
        <v>1055</v>
      </c>
      <c r="B503" s="29" t="s">
        <v>83</v>
      </c>
      <c r="C503" s="30">
        <v>3</v>
      </c>
      <c r="D503" s="30" t="s">
        <v>1056</v>
      </c>
      <c r="E503" s="30">
        <v>18</v>
      </c>
      <c r="F503" s="30"/>
      <c r="G503" s="30" t="s">
        <v>52</v>
      </c>
      <c r="H503" s="30"/>
      <c r="I503" s="30"/>
      <c r="J503" s="30"/>
      <c r="K503" s="30" t="s">
        <v>1057</v>
      </c>
      <c r="L503" s="30" t="s">
        <v>1056</v>
      </c>
      <c r="M503" s="30">
        <v>4</v>
      </c>
      <c r="N503" s="30"/>
      <c r="O503" s="23"/>
      <c r="P503" s="23"/>
      <c r="Q503" s="23"/>
      <c r="R503" s="23"/>
      <c r="S503" s="23" t="s">
        <v>64</v>
      </c>
      <c r="T503" s="23"/>
      <c r="U503" s="23" t="s">
        <v>54</v>
      </c>
      <c r="V503" s="23"/>
      <c r="W503" s="31">
        <v>1.6</v>
      </c>
      <c r="Y503" t="s">
        <v>40</v>
      </c>
      <c r="Z503" t="s">
        <v>53</v>
      </c>
      <c r="AA503" t="s">
        <v>51</v>
      </c>
      <c r="AB503" t="s">
        <v>1044</v>
      </c>
      <c r="AC503" t="s">
        <v>1420</v>
      </c>
      <c r="AF503" t="s">
        <v>1437</v>
      </c>
      <c r="AG503" t="s">
        <v>58</v>
      </c>
      <c r="BX503" t="s">
        <v>1057</v>
      </c>
    </row>
    <row r="504" spans="1:96" hidden="1">
      <c r="A504" s="32" t="s">
        <v>1058</v>
      </c>
      <c r="B504" s="32" t="s">
        <v>220</v>
      </c>
      <c r="C504" s="23">
        <v>1</v>
      </c>
      <c r="D504" s="23">
        <v>3100</v>
      </c>
      <c r="E504" s="23">
        <v>18</v>
      </c>
      <c r="F504" s="23"/>
      <c r="G504" s="23" t="s">
        <v>89</v>
      </c>
      <c r="H504" s="23">
        <v>300</v>
      </c>
      <c r="I504" s="23" t="s">
        <v>85</v>
      </c>
      <c r="J504" s="23">
        <v>76</v>
      </c>
      <c r="K504" s="23" t="s">
        <v>385</v>
      </c>
      <c r="L504" s="23" t="s">
        <v>1056</v>
      </c>
      <c r="M504" s="23"/>
      <c r="N504" s="23"/>
      <c r="O504" s="23"/>
      <c r="P504" s="23"/>
      <c r="Q504" s="23"/>
      <c r="R504" s="23"/>
      <c r="S504" s="23" t="s">
        <v>64</v>
      </c>
      <c r="T504" s="23"/>
      <c r="U504" s="23" t="s">
        <v>87</v>
      </c>
      <c r="V504" s="23"/>
      <c r="W504" s="33">
        <v>0</v>
      </c>
      <c r="Y504" t="s">
        <v>161</v>
      </c>
      <c r="Z504" t="s">
        <v>53</v>
      </c>
      <c r="AA504" t="s">
        <v>51</v>
      </c>
      <c r="AB504" t="s">
        <v>1044</v>
      </c>
      <c r="AC504" t="s">
        <v>1420</v>
      </c>
      <c r="AF504" t="s">
        <v>1437</v>
      </c>
      <c r="AG504" t="s">
        <v>58</v>
      </c>
      <c r="AI504" t="str">
        <f>BY504&amp;"_"&amp;CB504&amp;"_"&amp;L504&amp;"_p"&amp;C504&amp;"_"&amp;E504&amp;"st_"&amp;AK504&amp;"_"&amp;RIGHT(AG504,4)&amp;"_"&amp;AL504</f>
        <v>10_S235_SL40071933_p1_18st__2050_</v>
      </c>
      <c r="AM504" t="s">
        <v>1673</v>
      </c>
      <c r="AZ504" s="64" t="s">
        <v>1634</v>
      </c>
      <c r="BA504" s="64" t="s">
        <v>1635</v>
      </c>
      <c r="BX504" t="s">
        <v>1691</v>
      </c>
      <c r="BY504">
        <v>10</v>
      </c>
      <c r="BZ504" t="s">
        <v>1692</v>
      </c>
      <c r="CA504" t="s">
        <v>1736</v>
      </c>
      <c r="CB504" t="s">
        <v>1895</v>
      </c>
      <c r="CG504">
        <v>10</v>
      </c>
      <c r="CH504" t="s">
        <v>1895</v>
      </c>
      <c r="CI504" t="s">
        <v>1056</v>
      </c>
      <c r="CJ504" t="s">
        <v>1898</v>
      </c>
      <c r="CK504" t="s">
        <v>1920</v>
      </c>
      <c r="CL504" t="s">
        <v>19</v>
      </c>
      <c r="CM504">
        <v>3902</v>
      </c>
      <c r="CR504" t="s">
        <v>2053</v>
      </c>
    </row>
    <row r="505" spans="1:96" hidden="1">
      <c r="A505" s="29" t="s">
        <v>1059</v>
      </c>
      <c r="B505" s="29" t="s">
        <v>79</v>
      </c>
      <c r="C505" s="30">
        <v>2</v>
      </c>
      <c r="D505" s="30" t="s">
        <v>1060</v>
      </c>
      <c r="E505" s="30">
        <v>18</v>
      </c>
      <c r="F505" s="30"/>
      <c r="G505" s="30" t="s">
        <v>52</v>
      </c>
      <c r="H505" s="30"/>
      <c r="I505" s="30"/>
      <c r="J505" s="30"/>
      <c r="K505" s="30" t="s">
        <v>1061</v>
      </c>
      <c r="L505" s="30" t="s">
        <v>1060</v>
      </c>
      <c r="M505" s="30">
        <v>3</v>
      </c>
      <c r="N505" s="30"/>
      <c r="O505" s="23"/>
      <c r="P505" s="23"/>
      <c r="Q505" s="23"/>
      <c r="R505" s="23"/>
      <c r="S505" s="23" t="s">
        <v>64</v>
      </c>
      <c r="T505" s="23"/>
      <c r="U505" s="23" t="s">
        <v>54</v>
      </c>
      <c r="V505" s="23"/>
      <c r="W505" s="31">
        <v>5.7</v>
      </c>
      <c r="Y505" t="s">
        <v>40</v>
      </c>
      <c r="Z505" t="s">
        <v>53</v>
      </c>
      <c r="AA505" t="s">
        <v>51</v>
      </c>
      <c r="AB505" t="s">
        <v>1044</v>
      </c>
      <c r="AF505" t="s">
        <v>1437</v>
      </c>
      <c r="AG505" t="s">
        <v>58</v>
      </c>
      <c r="BX505" t="s">
        <v>1061</v>
      </c>
    </row>
    <row r="506" spans="1:96" hidden="1">
      <c r="A506" s="32" t="s">
        <v>1062</v>
      </c>
      <c r="B506" s="32" t="s">
        <v>83</v>
      </c>
      <c r="C506" s="23">
        <v>1</v>
      </c>
      <c r="D506" s="23">
        <v>147900</v>
      </c>
      <c r="E506" s="23">
        <v>18</v>
      </c>
      <c r="F506" s="23" t="s">
        <v>1063</v>
      </c>
      <c r="G506" s="23" t="s">
        <v>85</v>
      </c>
      <c r="H506" s="23" t="s">
        <v>1064</v>
      </c>
      <c r="I506" s="23" t="s">
        <v>85</v>
      </c>
      <c r="J506" s="23">
        <v>0</v>
      </c>
      <c r="K506" s="23" t="s">
        <v>556</v>
      </c>
      <c r="L506" s="23" t="s">
        <v>1060</v>
      </c>
      <c r="M506" s="23"/>
      <c r="N506" s="23"/>
      <c r="O506" s="23"/>
      <c r="P506" s="23"/>
      <c r="Q506" s="23"/>
      <c r="R506" s="23"/>
      <c r="S506" s="23" t="s">
        <v>64</v>
      </c>
      <c r="T506" s="23"/>
      <c r="U506" s="23" t="s">
        <v>87</v>
      </c>
      <c r="V506" s="23"/>
      <c r="W506" s="33">
        <v>0</v>
      </c>
      <c r="Y506" t="s">
        <v>365</v>
      </c>
      <c r="Z506" t="s">
        <v>53</v>
      </c>
      <c r="AA506" t="s">
        <v>51</v>
      </c>
      <c r="AB506" t="s">
        <v>1044</v>
      </c>
      <c r="AF506" t="s">
        <v>1437</v>
      </c>
      <c r="AG506" t="s">
        <v>58</v>
      </c>
      <c r="BX506" t="s">
        <v>1790</v>
      </c>
      <c r="BY506" t="s">
        <v>1791</v>
      </c>
      <c r="BZ506" t="s">
        <v>1792</v>
      </c>
      <c r="CA506" t="s">
        <v>1737</v>
      </c>
    </row>
    <row r="507" spans="1:96" hidden="1">
      <c r="A507" s="32" t="s">
        <v>1065</v>
      </c>
      <c r="B507" s="32" t="s">
        <v>83</v>
      </c>
      <c r="C507" s="23">
        <v>2</v>
      </c>
      <c r="D507" s="23">
        <v>25397900</v>
      </c>
      <c r="E507" s="23">
        <v>36</v>
      </c>
      <c r="F507" s="23"/>
      <c r="G507" s="23" t="s">
        <v>52</v>
      </c>
      <c r="H507" s="23" t="s">
        <v>280</v>
      </c>
      <c r="I507" s="23"/>
      <c r="J507" s="23"/>
      <c r="K507" s="23" t="s">
        <v>329</v>
      </c>
      <c r="L507" s="23" t="s">
        <v>1060</v>
      </c>
      <c r="M507" s="23"/>
      <c r="N507" s="23"/>
      <c r="O507" s="23"/>
      <c r="P507" s="23"/>
      <c r="Q507" s="23"/>
      <c r="R507" s="23"/>
      <c r="S507" s="23" t="s">
        <v>64</v>
      </c>
      <c r="T507" s="23"/>
      <c r="U507" s="23" t="s">
        <v>17</v>
      </c>
      <c r="V507" s="23"/>
      <c r="W507" s="33">
        <v>3.7999999999999999E-2</v>
      </c>
      <c r="Y507" t="s">
        <v>124</v>
      </c>
      <c r="Z507" t="s">
        <v>53</v>
      </c>
      <c r="AA507" t="s">
        <v>51</v>
      </c>
      <c r="AB507" t="s">
        <v>1044</v>
      </c>
      <c r="AF507" t="s">
        <v>1437</v>
      </c>
      <c r="AG507" t="s">
        <v>58</v>
      </c>
      <c r="BX507" t="s">
        <v>1713</v>
      </c>
      <c r="BY507" t="s">
        <v>280</v>
      </c>
      <c r="BZ507" t="s">
        <v>1714</v>
      </c>
      <c r="CA507" s="76">
        <v>46242</v>
      </c>
      <c r="CB507" t="s">
        <v>1715</v>
      </c>
      <c r="CC507" t="s">
        <v>1716</v>
      </c>
    </row>
    <row r="508" spans="1:96" hidden="1">
      <c r="A508" s="32" t="s">
        <v>1066</v>
      </c>
      <c r="B508" s="32" t="s">
        <v>83</v>
      </c>
      <c r="C508" s="23">
        <v>3</v>
      </c>
      <c r="D508" s="23">
        <v>24707900</v>
      </c>
      <c r="E508" s="23">
        <v>36</v>
      </c>
      <c r="F508" s="23"/>
      <c r="G508" s="23" t="s">
        <v>52</v>
      </c>
      <c r="H508" s="23" t="s">
        <v>275</v>
      </c>
      <c r="I508" s="23"/>
      <c r="J508" s="23"/>
      <c r="K508" s="23" t="s">
        <v>276</v>
      </c>
      <c r="L508" s="23" t="s">
        <v>1060</v>
      </c>
      <c r="M508" s="23"/>
      <c r="N508" s="23"/>
      <c r="O508" s="23"/>
      <c r="P508" s="23"/>
      <c r="Q508" s="23"/>
      <c r="R508" s="23"/>
      <c r="S508" s="23" t="s">
        <v>64</v>
      </c>
      <c r="T508" s="23"/>
      <c r="U508" s="23" t="s">
        <v>17</v>
      </c>
      <c r="V508" s="23"/>
      <c r="W508" s="33">
        <v>1.7000000000000001E-2</v>
      </c>
      <c r="Y508" t="s">
        <v>124</v>
      </c>
      <c r="Z508" t="s">
        <v>53</v>
      </c>
      <c r="AA508" t="s">
        <v>51</v>
      </c>
      <c r="AB508" t="s">
        <v>1044</v>
      </c>
      <c r="AF508" t="s">
        <v>1437</v>
      </c>
      <c r="AG508" t="s">
        <v>58</v>
      </c>
      <c r="BX508" t="s">
        <v>1717</v>
      </c>
      <c r="BY508" t="s">
        <v>275</v>
      </c>
      <c r="BZ508" t="s">
        <v>1718</v>
      </c>
      <c r="CA508">
        <v>8</v>
      </c>
      <c r="CB508" t="s">
        <v>1715</v>
      </c>
      <c r="CC508" t="s">
        <v>1716</v>
      </c>
    </row>
    <row r="509" spans="1:96" hidden="1">
      <c r="A509" s="32" t="s">
        <v>1067</v>
      </c>
      <c r="B509" s="32" t="s">
        <v>83</v>
      </c>
      <c r="C509" s="23">
        <v>4</v>
      </c>
      <c r="D509" s="23">
        <v>24484200</v>
      </c>
      <c r="E509" s="23">
        <v>72</v>
      </c>
      <c r="F509" s="23"/>
      <c r="G509" s="23" t="s">
        <v>52</v>
      </c>
      <c r="H509" s="23">
        <v>13</v>
      </c>
      <c r="I509" s="23"/>
      <c r="J509" s="23"/>
      <c r="K509" s="23" t="s">
        <v>278</v>
      </c>
      <c r="L509" s="23" t="s">
        <v>1060</v>
      </c>
      <c r="M509" s="23"/>
      <c r="N509" s="23"/>
      <c r="O509" s="23"/>
      <c r="P509" s="23"/>
      <c r="Q509" s="23"/>
      <c r="R509" s="23"/>
      <c r="S509" s="23" t="s">
        <v>64</v>
      </c>
      <c r="T509" s="23"/>
      <c r="U509" s="23" t="s">
        <v>17</v>
      </c>
      <c r="V509" s="23"/>
      <c r="W509" s="33">
        <v>0.01</v>
      </c>
      <c r="Y509" t="s">
        <v>124</v>
      </c>
      <c r="Z509" t="s">
        <v>53</v>
      </c>
      <c r="AA509" t="s">
        <v>51</v>
      </c>
      <c r="AB509" t="s">
        <v>1044</v>
      </c>
      <c r="AF509" t="s">
        <v>1437</v>
      </c>
      <c r="AG509" t="s">
        <v>58</v>
      </c>
      <c r="BX509" t="s">
        <v>1719</v>
      </c>
      <c r="BY509">
        <v>13</v>
      </c>
      <c r="BZ509" t="s">
        <v>763</v>
      </c>
      <c r="CA509" t="s">
        <v>1720</v>
      </c>
      <c r="CB509" t="s">
        <v>1721</v>
      </c>
    </row>
    <row r="510" spans="1:96" hidden="1">
      <c r="A510" s="32" t="s">
        <v>1068</v>
      </c>
      <c r="B510" s="32" t="s">
        <v>79</v>
      </c>
      <c r="C510" s="23">
        <v>101</v>
      </c>
      <c r="D510" s="23">
        <v>4699800</v>
      </c>
      <c r="E510" s="23">
        <v>12</v>
      </c>
      <c r="F510" s="23"/>
      <c r="G510" s="23" t="s">
        <v>52</v>
      </c>
      <c r="H510" s="23" t="s">
        <v>1069</v>
      </c>
      <c r="I510" s="23"/>
      <c r="J510" s="23"/>
      <c r="K510" s="23" t="s">
        <v>1070</v>
      </c>
      <c r="L510" s="23" t="s">
        <v>1060</v>
      </c>
      <c r="M510" s="23"/>
      <c r="N510" s="23"/>
      <c r="O510" s="23"/>
      <c r="P510" s="23"/>
      <c r="Q510" s="23"/>
      <c r="R510" s="23"/>
      <c r="S510" s="23" t="s">
        <v>64</v>
      </c>
      <c r="T510" s="23"/>
      <c r="U510" s="23" t="s">
        <v>17</v>
      </c>
      <c r="V510" s="23"/>
      <c r="W510" s="33">
        <v>0.24</v>
      </c>
      <c r="Y510" t="s">
        <v>124</v>
      </c>
      <c r="Z510" t="s">
        <v>53</v>
      </c>
      <c r="AA510" t="s">
        <v>51</v>
      </c>
      <c r="AB510" t="s">
        <v>1044</v>
      </c>
      <c r="AF510" t="s">
        <v>1437</v>
      </c>
      <c r="AG510" t="s">
        <v>58</v>
      </c>
      <c r="BX510" t="s">
        <v>1713</v>
      </c>
      <c r="BY510" t="s">
        <v>1069</v>
      </c>
      <c r="BZ510" t="s">
        <v>1714</v>
      </c>
      <c r="CA510" s="76">
        <v>46242</v>
      </c>
      <c r="CB510" t="s">
        <v>1740</v>
      </c>
    </row>
    <row r="511" spans="1:96" hidden="1">
      <c r="A511" s="32" t="s">
        <v>1071</v>
      </c>
      <c r="B511" s="32" t="s">
        <v>79</v>
      </c>
      <c r="C511" s="23">
        <v>102</v>
      </c>
      <c r="D511" s="23">
        <v>24723900</v>
      </c>
      <c r="E511" s="23">
        <v>12</v>
      </c>
      <c r="F511" s="23"/>
      <c r="G511" s="23" t="s">
        <v>52</v>
      </c>
      <c r="H511" s="23" t="s">
        <v>126</v>
      </c>
      <c r="I511" s="23"/>
      <c r="J511" s="23"/>
      <c r="K511" s="23" t="s">
        <v>127</v>
      </c>
      <c r="L511" s="23" t="s">
        <v>1060</v>
      </c>
      <c r="M511" s="23"/>
      <c r="N511" s="23"/>
      <c r="O511" s="23"/>
      <c r="P511" s="23"/>
      <c r="Q511" s="23"/>
      <c r="R511" s="23"/>
      <c r="S511" s="23" t="s">
        <v>64</v>
      </c>
      <c r="T511" s="23"/>
      <c r="U511" s="23" t="s">
        <v>17</v>
      </c>
      <c r="V511" s="23"/>
      <c r="W511" s="33">
        <v>0.1</v>
      </c>
      <c r="Y511" t="s">
        <v>124</v>
      </c>
      <c r="Z511" t="s">
        <v>53</v>
      </c>
      <c r="AA511" t="s">
        <v>51</v>
      </c>
      <c r="AB511" t="s">
        <v>1044</v>
      </c>
      <c r="AF511" t="s">
        <v>1437</v>
      </c>
      <c r="AG511" t="s">
        <v>58</v>
      </c>
      <c r="BX511" t="s">
        <v>1717</v>
      </c>
      <c r="BY511" t="s">
        <v>126</v>
      </c>
      <c r="BZ511" t="s">
        <v>1718</v>
      </c>
      <c r="CA511">
        <v>8</v>
      </c>
      <c r="CB511" t="s">
        <v>1715</v>
      </c>
      <c r="CC511" t="s">
        <v>1716</v>
      </c>
    </row>
    <row r="512" spans="1:96" hidden="1">
      <c r="A512" s="32" t="s">
        <v>1072</v>
      </c>
      <c r="B512" s="32" t="s">
        <v>79</v>
      </c>
      <c r="C512" s="23">
        <v>103</v>
      </c>
      <c r="D512" s="23">
        <v>24712900</v>
      </c>
      <c r="E512" s="23">
        <v>24</v>
      </c>
      <c r="F512" s="23"/>
      <c r="G512" s="23" t="s">
        <v>52</v>
      </c>
      <c r="H512" s="23">
        <v>21</v>
      </c>
      <c r="I512" s="23"/>
      <c r="J512" s="23"/>
      <c r="K512" s="23" t="s">
        <v>129</v>
      </c>
      <c r="L512" s="23" t="s">
        <v>1060</v>
      </c>
      <c r="M512" s="23"/>
      <c r="N512" s="23"/>
      <c r="O512" s="23"/>
      <c r="P512" s="23"/>
      <c r="Q512" s="23"/>
      <c r="R512" s="23"/>
      <c r="S512" s="23" t="s">
        <v>64</v>
      </c>
      <c r="T512" s="23"/>
      <c r="U512" s="23" t="s">
        <v>17</v>
      </c>
      <c r="V512" s="23"/>
      <c r="W512" s="33">
        <v>1.7000000000000001E-2</v>
      </c>
      <c r="Y512" t="s">
        <v>124</v>
      </c>
      <c r="Z512" t="s">
        <v>53</v>
      </c>
      <c r="AA512" t="s">
        <v>51</v>
      </c>
      <c r="AB512" t="s">
        <v>1044</v>
      </c>
      <c r="AF512" t="s">
        <v>1437</v>
      </c>
      <c r="AG512" t="s">
        <v>58</v>
      </c>
      <c r="BX512" t="s">
        <v>1719</v>
      </c>
      <c r="BY512">
        <v>21</v>
      </c>
      <c r="BZ512" t="s">
        <v>763</v>
      </c>
      <c r="CA512" t="s">
        <v>1720</v>
      </c>
      <c r="CB512" t="s">
        <v>1721</v>
      </c>
    </row>
    <row r="513" spans="1:96" hidden="1">
      <c r="A513" s="29" t="s">
        <v>1073</v>
      </c>
      <c r="B513" s="29" t="s">
        <v>74</v>
      </c>
      <c r="C513" s="30">
        <v>2</v>
      </c>
      <c r="D513" s="30" t="s">
        <v>1074</v>
      </c>
      <c r="E513" s="30">
        <v>1</v>
      </c>
      <c r="F513" s="30"/>
      <c r="G513" s="30" t="s">
        <v>52</v>
      </c>
      <c r="H513" s="30"/>
      <c r="I513" s="30"/>
      <c r="J513" s="30"/>
      <c r="K513" s="30" t="s">
        <v>1075</v>
      </c>
      <c r="L513" s="30" t="s">
        <v>1074</v>
      </c>
      <c r="M513" s="30">
        <v>2</v>
      </c>
      <c r="N513" s="30" t="s">
        <v>1076</v>
      </c>
      <c r="O513" s="23"/>
      <c r="P513" s="23"/>
      <c r="Q513" s="23"/>
      <c r="R513" s="23"/>
      <c r="S513" s="23" t="s">
        <v>64</v>
      </c>
      <c r="T513" s="23"/>
      <c r="U513" s="23" t="s">
        <v>54</v>
      </c>
      <c r="V513" s="23"/>
      <c r="W513" s="31">
        <v>157.36199999999999</v>
      </c>
      <c r="Y513" t="s">
        <v>40</v>
      </c>
      <c r="Z513" t="s">
        <v>53</v>
      </c>
      <c r="AA513" t="s">
        <v>51</v>
      </c>
      <c r="AB513" t="s">
        <v>1044</v>
      </c>
      <c r="AF513" t="s">
        <v>1437</v>
      </c>
      <c r="AG513" t="s">
        <v>58</v>
      </c>
      <c r="BX513" t="s">
        <v>1075</v>
      </c>
    </row>
    <row r="514" spans="1:96" hidden="1">
      <c r="A514" s="29" t="s">
        <v>1077</v>
      </c>
      <c r="B514" s="29" t="s">
        <v>79</v>
      </c>
      <c r="C514" s="30">
        <v>1</v>
      </c>
      <c r="D514" s="30" t="s">
        <v>1078</v>
      </c>
      <c r="E514" s="30">
        <v>2</v>
      </c>
      <c r="F514" s="30"/>
      <c r="G514" s="30" t="s">
        <v>52</v>
      </c>
      <c r="H514" s="30"/>
      <c r="I514" s="30"/>
      <c r="J514" s="30"/>
      <c r="K514" s="30" t="s">
        <v>1079</v>
      </c>
      <c r="L514" s="30" t="s">
        <v>1078</v>
      </c>
      <c r="M514" s="30">
        <v>1</v>
      </c>
      <c r="N514" s="30"/>
      <c r="O514" s="23"/>
      <c r="P514" s="23"/>
      <c r="Q514" s="23"/>
      <c r="R514" s="23"/>
      <c r="S514" s="23" t="s">
        <v>64</v>
      </c>
      <c r="T514" s="23"/>
      <c r="U514" s="23" t="s">
        <v>54</v>
      </c>
      <c r="V514" s="23"/>
      <c r="W514" s="31">
        <v>66.233000000000004</v>
      </c>
      <c r="Y514" t="s">
        <v>40</v>
      </c>
      <c r="Z514" t="s">
        <v>53</v>
      </c>
      <c r="AA514" t="s">
        <v>51</v>
      </c>
      <c r="AB514" t="s">
        <v>1044</v>
      </c>
      <c r="AC514" t="s">
        <v>1420</v>
      </c>
      <c r="AF514" t="s">
        <v>1437</v>
      </c>
      <c r="AG514" t="s">
        <v>58</v>
      </c>
      <c r="BX514" t="s">
        <v>1079</v>
      </c>
    </row>
    <row r="515" spans="1:96" hidden="1">
      <c r="A515" s="32" t="s">
        <v>1080</v>
      </c>
      <c r="B515" s="32" t="s">
        <v>83</v>
      </c>
      <c r="C515" s="23">
        <v>1</v>
      </c>
      <c r="D515" s="23">
        <v>3740200</v>
      </c>
      <c r="E515" s="23">
        <v>2</v>
      </c>
      <c r="F515" s="23">
        <v>3.6240000000000001</v>
      </c>
      <c r="G515" s="23" t="s">
        <v>89</v>
      </c>
      <c r="H515" s="23" t="s">
        <v>1081</v>
      </c>
      <c r="I515" s="23" t="s">
        <v>85</v>
      </c>
      <c r="J515" s="23">
        <v>454</v>
      </c>
      <c r="K515" s="23" t="s">
        <v>92</v>
      </c>
      <c r="L515" s="23" t="s">
        <v>1078</v>
      </c>
      <c r="M515" s="23"/>
      <c r="N515" s="23"/>
      <c r="O515" s="23"/>
      <c r="P515" s="23"/>
      <c r="Q515" s="23"/>
      <c r="R515" s="23"/>
      <c r="S515" s="23" t="s">
        <v>64</v>
      </c>
      <c r="T515" s="23"/>
      <c r="U515" s="23" t="s">
        <v>87</v>
      </c>
      <c r="V515" s="23"/>
      <c r="W515" s="33">
        <v>0</v>
      </c>
      <c r="Y515" t="s">
        <v>161</v>
      </c>
      <c r="Z515" t="s">
        <v>53</v>
      </c>
      <c r="AA515" t="s">
        <v>51</v>
      </c>
      <c r="AB515" t="s">
        <v>1044</v>
      </c>
      <c r="AC515" t="s">
        <v>1420</v>
      </c>
      <c r="AF515" t="s">
        <v>1437</v>
      </c>
      <c r="AG515" t="s">
        <v>58</v>
      </c>
      <c r="AI515" t="str">
        <f>BY515&amp;"_"&amp;CB515&amp;"_"&amp;L515&amp;"_p"&amp;C515&amp;"_"&amp;E515&amp;"st_"&amp;AK515&amp;"_"&amp;RIGHT(AG515,4)&amp;"_"&amp;AL515</f>
        <v>4_S235_SL40071412_p1_2st__2050_</v>
      </c>
      <c r="AM515" t="s">
        <v>1673</v>
      </c>
      <c r="AZ515" s="64" t="s">
        <v>1636</v>
      </c>
      <c r="BA515" s="64" t="s">
        <v>1637</v>
      </c>
      <c r="BX515" t="s">
        <v>1691</v>
      </c>
      <c r="BY515">
        <v>4</v>
      </c>
      <c r="BZ515" t="s">
        <v>1692</v>
      </c>
      <c r="CA515" t="s">
        <v>1693</v>
      </c>
      <c r="CB515" t="s">
        <v>1895</v>
      </c>
      <c r="CG515">
        <v>4</v>
      </c>
      <c r="CH515" t="s">
        <v>1895</v>
      </c>
      <c r="CI515" t="s">
        <v>1078</v>
      </c>
      <c r="CJ515" t="s">
        <v>1898</v>
      </c>
      <c r="CK515" t="s">
        <v>1917</v>
      </c>
      <c r="CL515" t="s">
        <v>1903</v>
      </c>
      <c r="CM515">
        <v>3902</v>
      </c>
      <c r="CR515" t="s">
        <v>2054</v>
      </c>
    </row>
    <row r="516" spans="1:96" hidden="1">
      <c r="A516" s="29" t="s">
        <v>1082</v>
      </c>
      <c r="B516" s="29" t="s">
        <v>83</v>
      </c>
      <c r="C516" s="30">
        <v>2</v>
      </c>
      <c r="D516" s="30" t="s">
        <v>528</v>
      </c>
      <c r="E516" s="30">
        <v>4</v>
      </c>
      <c r="F516" s="30"/>
      <c r="G516" s="30" t="s">
        <v>52</v>
      </c>
      <c r="H516" s="30" t="s">
        <v>529</v>
      </c>
      <c r="I516" s="30"/>
      <c r="J516" s="30"/>
      <c r="K516" s="30" t="s">
        <v>530</v>
      </c>
      <c r="L516" s="30" t="s">
        <v>528</v>
      </c>
      <c r="M516" s="30">
        <v>4</v>
      </c>
      <c r="N516" s="30"/>
      <c r="O516" s="23"/>
      <c r="P516" s="23"/>
      <c r="Q516" s="23"/>
      <c r="R516" s="23"/>
      <c r="S516" s="23" t="s">
        <v>64</v>
      </c>
      <c r="T516" s="23"/>
      <c r="U516" s="23" t="s">
        <v>54</v>
      </c>
      <c r="V516" s="23"/>
      <c r="W516" s="31">
        <v>3.2</v>
      </c>
      <c r="Y516" t="s">
        <v>40</v>
      </c>
      <c r="Z516" t="s">
        <v>53</v>
      </c>
      <c r="AA516" t="s">
        <v>51</v>
      </c>
      <c r="AB516" t="s">
        <v>1044</v>
      </c>
      <c r="AC516" t="s">
        <v>1420</v>
      </c>
      <c r="AF516" t="s">
        <v>1437</v>
      </c>
      <c r="AG516" t="s">
        <v>58</v>
      </c>
      <c r="BX516" t="s">
        <v>530</v>
      </c>
    </row>
    <row r="517" spans="1:96" hidden="1">
      <c r="A517" s="32" t="s">
        <v>1083</v>
      </c>
      <c r="B517" s="32" t="s">
        <v>220</v>
      </c>
      <c r="C517" s="23">
        <v>1</v>
      </c>
      <c r="D517" s="23">
        <v>2900</v>
      </c>
      <c r="E517" s="23">
        <v>4</v>
      </c>
      <c r="F517" s="23"/>
      <c r="G517" s="23" t="s">
        <v>89</v>
      </c>
      <c r="H517" s="23">
        <v>292</v>
      </c>
      <c r="I517" s="23" t="s">
        <v>85</v>
      </c>
      <c r="J517" s="23">
        <v>76</v>
      </c>
      <c r="K517" s="23" t="s">
        <v>532</v>
      </c>
      <c r="L517" s="23" t="s">
        <v>528</v>
      </c>
      <c r="M517" s="23"/>
      <c r="N517" s="23"/>
      <c r="O517" s="23"/>
      <c r="P517" s="23"/>
      <c r="Q517" s="23"/>
      <c r="R517" s="23"/>
      <c r="S517" s="23" t="s">
        <v>64</v>
      </c>
      <c r="T517" s="23"/>
      <c r="U517" s="23" t="s">
        <v>87</v>
      </c>
      <c r="V517" s="23"/>
      <c r="W517" s="33">
        <v>0</v>
      </c>
      <c r="Y517" t="s">
        <v>161</v>
      </c>
      <c r="Z517" t="s">
        <v>53</v>
      </c>
      <c r="AA517" t="s">
        <v>51</v>
      </c>
      <c r="AB517" t="s">
        <v>1044</v>
      </c>
      <c r="AC517" t="s">
        <v>1420</v>
      </c>
      <c r="AF517" t="s">
        <v>1437</v>
      </c>
      <c r="AG517" t="s">
        <v>58</v>
      </c>
      <c r="AI517" t="str">
        <f>BY517&amp;"_"&amp;CB517&amp;"_"&amp;L517&amp;"_p"&amp;C517&amp;"_"&amp;E517&amp;"st_"&amp;AK517&amp;"_"&amp;RIGHT(AG517,4)&amp;"_"&amp;AL517</f>
        <v>20_S235_SL40071932_p1_4st__2050_</v>
      </c>
      <c r="AM517" t="s">
        <v>1673</v>
      </c>
      <c r="AZ517" s="64" t="s">
        <v>1529</v>
      </c>
      <c r="BA517" s="64" t="s">
        <v>1530</v>
      </c>
      <c r="BX517" t="s">
        <v>1691</v>
      </c>
      <c r="BY517">
        <v>20</v>
      </c>
      <c r="BZ517" t="s">
        <v>1692</v>
      </c>
      <c r="CA517" t="s">
        <v>1736</v>
      </c>
      <c r="CB517" t="s">
        <v>1895</v>
      </c>
      <c r="CG517">
        <v>20</v>
      </c>
      <c r="CH517" t="s">
        <v>1895</v>
      </c>
      <c r="CI517" t="s">
        <v>528</v>
      </c>
      <c r="CJ517" t="s">
        <v>1898</v>
      </c>
      <c r="CK517" t="s">
        <v>1920</v>
      </c>
      <c r="CL517" t="s">
        <v>19</v>
      </c>
      <c r="CM517">
        <v>3902</v>
      </c>
      <c r="CR517" t="s">
        <v>2055</v>
      </c>
    </row>
    <row r="518" spans="1:96" hidden="1">
      <c r="A518" s="29" t="s">
        <v>1084</v>
      </c>
      <c r="B518" s="29" t="s">
        <v>83</v>
      </c>
      <c r="C518" s="30">
        <v>3</v>
      </c>
      <c r="D518" s="30" t="s">
        <v>1056</v>
      </c>
      <c r="E518" s="30">
        <v>4</v>
      </c>
      <c r="F518" s="30"/>
      <c r="G518" s="30" t="s">
        <v>52</v>
      </c>
      <c r="H518" s="30"/>
      <c r="I518" s="30"/>
      <c r="J518" s="30"/>
      <c r="K518" s="30" t="s">
        <v>1057</v>
      </c>
      <c r="L518" s="30" t="s">
        <v>1056</v>
      </c>
      <c r="M518" s="30">
        <v>4</v>
      </c>
      <c r="N518" s="30"/>
      <c r="O518" s="23"/>
      <c r="P518" s="23"/>
      <c r="Q518" s="23"/>
      <c r="R518" s="23"/>
      <c r="S518" s="23" t="s">
        <v>64</v>
      </c>
      <c r="T518" s="23"/>
      <c r="U518" s="23" t="s">
        <v>54</v>
      </c>
      <c r="V518" s="23"/>
      <c r="W518" s="31">
        <v>1.6</v>
      </c>
      <c r="Y518" t="s">
        <v>40</v>
      </c>
      <c r="Z518" t="s">
        <v>53</v>
      </c>
      <c r="AA518" t="s">
        <v>51</v>
      </c>
      <c r="AB518" t="s">
        <v>1044</v>
      </c>
      <c r="AC518" t="s">
        <v>1420</v>
      </c>
      <c r="AF518" t="s">
        <v>1437</v>
      </c>
      <c r="AG518" t="s">
        <v>58</v>
      </c>
      <c r="BX518" t="s">
        <v>1057</v>
      </c>
    </row>
    <row r="519" spans="1:96" hidden="1">
      <c r="A519" s="32" t="s">
        <v>1085</v>
      </c>
      <c r="B519" s="32" t="s">
        <v>220</v>
      </c>
      <c r="C519" s="23">
        <v>1</v>
      </c>
      <c r="D519" s="23">
        <v>3100</v>
      </c>
      <c r="E519" s="23">
        <v>4</v>
      </c>
      <c r="F519" s="23"/>
      <c r="G519" s="23" t="s">
        <v>89</v>
      </c>
      <c r="H519" s="23">
        <v>300</v>
      </c>
      <c r="I519" s="23" t="s">
        <v>85</v>
      </c>
      <c r="J519" s="23">
        <v>76</v>
      </c>
      <c r="K519" s="23" t="s">
        <v>385</v>
      </c>
      <c r="L519" s="23" t="s">
        <v>1056</v>
      </c>
      <c r="M519" s="23"/>
      <c r="N519" s="23"/>
      <c r="O519" s="23"/>
      <c r="P519" s="23"/>
      <c r="Q519" s="23"/>
      <c r="R519" s="23"/>
      <c r="S519" s="23" t="s">
        <v>64</v>
      </c>
      <c r="T519" s="23"/>
      <c r="U519" s="23" t="s">
        <v>87</v>
      </c>
      <c r="V519" s="23"/>
      <c r="W519" s="33">
        <v>0</v>
      </c>
      <c r="Y519" t="s">
        <v>161</v>
      </c>
      <c r="Z519" t="s">
        <v>53</v>
      </c>
      <c r="AA519" t="s">
        <v>51</v>
      </c>
      <c r="AB519" t="s">
        <v>1044</v>
      </c>
      <c r="AC519" t="s">
        <v>1420</v>
      </c>
      <c r="AF519" t="s">
        <v>1437</v>
      </c>
      <c r="AG519" t="s">
        <v>58</v>
      </c>
      <c r="AI519" t="str">
        <f>BY519&amp;"_"&amp;CB519&amp;"_"&amp;L519&amp;"_p"&amp;C519&amp;"_"&amp;E519&amp;"st_"&amp;AK519&amp;"_"&amp;RIGHT(AG519,4)&amp;"_"&amp;AL519</f>
        <v>10_S235_SL40071933_p1_4st__2050_</v>
      </c>
      <c r="AM519" t="s">
        <v>1673</v>
      </c>
      <c r="AZ519" s="64" t="s">
        <v>1634</v>
      </c>
      <c r="BA519" s="64" t="s">
        <v>1635</v>
      </c>
      <c r="BX519" t="s">
        <v>1691</v>
      </c>
      <c r="BY519">
        <v>10</v>
      </c>
      <c r="BZ519" t="s">
        <v>1692</v>
      </c>
      <c r="CA519" t="s">
        <v>1736</v>
      </c>
      <c r="CB519" t="s">
        <v>1895</v>
      </c>
      <c r="CG519">
        <v>10</v>
      </c>
      <c r="CH519" t="s">
        <v>1895</v>
      </c>
      <c r="CI519" t="s">
        <v>1056</v>
      </c>
      <c r="CJ519" t="s">
        <v>1898</v>
      </c>
      <c r="CK519" t="s">
        <v>1920</v>
      </c>
      <c r="CL519" t="s">
        <v>19</v>
      </c>
      <c r="CM519">
        <v>3902</v>
      </c>
      <c r="CR519" t="s">
        <v>2056</v>
      </c>
    </row>
    <row r="520" spans="1:96" hidden="1">
      <c r="A520" s="29" t="s">
        <v>1086</v>
      </c>
      <c r="B520" s="29" t="s">
        <v>79</v>
      </c>
      <c r="C520" s="30">
        <v>2</v>
      </c>
      <c r="D520" s="30" t="s">
        <v>1060</v>
      </c>
      <c r="E520" s="30">
        <v>4</v>
      </c>
      <c r="F520" s="30"/>
      <c r="G520" s="30" t="s">
        <v>52</v>
      </c>
      <c r="H520" s="30"/>
      <c r="I520" s="30"/>
      <c r="J520" s="30"/>
      <c r="K520" s="30" t="s">
        <v>1061</v>
      </c>
      <c r="L520" s="30" t="s">
        <v>1060</v>
      </c>
      <c r="M520" s="30">
        <v>3</v>
      </c>
      <c r="N520" s="30"/>
      <c r="O520" s="23"/>
      <c r="P520" s="23"/>
      <c r="Q520" s="23"/>
      <c r="R520" s="23"/>
      <c r="S520" s="23" t="s">
        <v>64</v>
      </c>
      <c r="T520" s="23"/>
      <c r="U520" s="23" t="s">
        <v>54</v>
      </c>
      <c r="V520" s="23"/>
      <c r="W520" s="31">
        <v>5.7</v>
      </c>
      <c r="Y520" t="s">
        <v>40</v>
      </c>
      <c r="Z520" t="s">
        <v>53</v>
      </c>
      <c r="AA520" t="s">
        <v>51</v>
      </c>
      <c r="AB520" t="s">
        <v>1044</v>
      </c>
      <c r="AF520" t="s">
        <v>1437</v>
      </c>
      <c r="AG520" t="s">
        <v>58</v>
      </c>
      <c r="BX520" t="s">
        <v>1061</v>
      </c>
    </row>
    <row r="521" spans="1:96" hidden="1">
      <c r="A521" s="32" t="s">
        <v>1087</v>
      </c>
      <c r="B521" s="32" t="s">
        <v>83</v>
      </c>
      <c r="C521" s="23">
        <v>1</v>
      </c>
      <c r="D521" s="23">
        <v>147900</v>
      </c>
      <c r="E521" s="23">
        <v>4</v>
      </c>
      <c r="F521" s="23" t="s">
        <v>1088</v>
      </c>
      <c r="G521" s="23" t="s">
        <v>85</v>
      </c>
      <c r="H521" s="23" t="s">
        <v>1064</v>
      </c>
      <c r="I521" s="23" t="s">
        <v>85</v>
      </c>
      <c r="J521" s="23">
        <v>0</v>
      </c>
      <c r="K521" s="23" t="s">
        <v>556</v>
      </c>
      <c r="L521" s="23" t="s">
        <v>1060</v>
      </c>
      <c r="M521" s="23"/>
      <c r="N521" s="23"/>
      <c r="O521" s="23"/>
      <c r="P521" s="23"/>
      <c r="Q521" s="23"/>
      <c r="R521" s="23"/>
      <c r="S521" s="23" t="s">
        <v>64</v>
      </c>
      <c r="T521" s="23"/>
      <c r="U521" s="23" t="s">
        <v>87</v>
      </c>
      <c r="V521" s="23"/>
      <c r="W521" s="33">
        <v>0</v>
      </c>
      <c r="Y521" t="s">
        <v>365</v>
      </c>
      <c r="Z521" t="s">
        <v>53</v>
      </c>
      <c r="AA521" t="s">
        <v>51</v>
      </c>
      <c r="AB521" t="s">
        <v>1044</v>
      </c>
      <c r="AF521" t="s">
        <v>1437</v>
      </c>
      <c r="AG521" t="s">
        <v>58</v>
      </c>
      <c r="BX521" t="s">
        <v>1790</v>
      </c>
      <c r="BY521" t="s">
        <v>1791</v>
      </c>
      <c r="BZ521" t="s">
        <v>1792</v>
      </c>
      <c r="CA521" t="s">
        <v>1737</v>
      </c>
    </row>
    <row r="522" spans="1:96" hidden="1">
      <c r="A522" s="32" t="s">
        <v>1089</v>
      </c>
      <c r="B522" s="32" t="s">
        <v>83</v>
      </c>
      <c r="C522" s="23">
        <v>2</v>
      </c>
      <c r="D522" s="23">
        <v>25397900</v>
      </c>
      <c r="E522" s="23">
        <v>8</v>
      </c>
      <c r="F522" s="23"/>
      <c r="G522" s="23" t="s">
        <v>52</v>
      </c>
      <c r="H522" s="23" t="s">
        <v>280</v>
      </c>
      <c r="I522" s="23"/>
      <c r="J522" s="23"/>
      <c r="K522" s="23" t="s">
        <v>329</v>
      </c>
      <c r="L522" s="23" t="s">
        <v>1060</v>
      </c>
      <c r="M522" s="23"/>
      <c r="N522" s="23"/>
      <c r="O522" s="23"/>
      <c r="P522" s="23"/>
      <c r="Q522" s="23"/>
      <c r="R522" s="23"/>
      <c r="S522" s="23" t="s">
        <v>64</v>
      </c>
      <c r="T522" s="23"/>
      <c r="U522" s="23" t="s">
        <v>17</v>
      </c>
      <c r="V522" s="23"/>
      <c r="W522" s="33">
        <v>3.7999999999999999E-2</v>
      </c>
      <c r="Y522" t="s">
        <v>124</v>
      </c>
      <c r="Z522" t="s">
        <v>53</v>
      </c>
      <c r="AA522" t="s">
        <v>51</v>
      </c>
      <c r="AB522" t="s">
        <v>1044</v>
      </c>
      <c r="AF522" t="s">
        <v>1437</v>
      </c>
      <c r="AG522" t="s">
        <v>58</v>
      </c>
      <c r="BX522" t="s">
        <v>1713</v>
      </c>
      <c r="BY522" t="s">
        <v>280</v>
      </c>
      <c r="BZ522" t="s">
        <v>1714</v>
      </c>
      <c r="CA522" s="76">
        <v>46242</v>
      </c>
      <c r="CB522" t="s">
        <v>1715</v>
      </c>
      <c r="CC522" t="s">
        <v>1716</v>
      </c>
    </row>
    <row r="523" spans="1:96" hidden="1">
      <c r="A523" s="32" t="s">
        <v>1090</v>
      </c>
      <c r="B523" s="32" t="s">
        <v>83</v>
      </c>
      <c r="C523" s="23">
        <v>3</v>
      </c>
      <c r="D523" s="23">
        <v>24707900</v>
      </c>
      <c r="E523" s="23">
        <v>8</v>
      </c>
      <c r="F523" s="23"/>
      <c r="G523" s="23" t="s">
        <v>52</v>
      </c>
      <c r="H523" s="23" t="s">
        <v>275</v>
      </c>
      <c r="I523" s="23"/>
      <c r="J523" s="23"/>
      <c r="K523" s="23" t="s">
        <v>276</v>
      </c>
      <c r="L523" s="23" t="s">
        <v>1060</v>
      </c>
      <c r="M523" s="23"/>
      <c r="N523" s="23"/>
      <c r="O523" s="23"/>
      <c r="P523" s="23"/>
      <c r="Q523" s="23"/>
      <c r="R523" s="23"/>
      <c r="S523" s="23" t="s">
        <v>64</v>
      </c>
      <c r="T523" s="23"/>
      <c r="U523" s="23" t="s">
        <v>17</v>
      </c>
      <c r="V523" s="23"/>
      <c r="W523" s="33">
        <v>1.7000000000000001E-2</v>
      </c>
      <c r="Y523" t="s">
        <v>124</v>
      </c>
      <c r="Z523" t="s">
        <v>53</v>
      </c>
      <c r="AA523" t="s">
        <v>51</v>
      </c>
      <c r="AB523" t="s">
        <v>1044</v>
      </c>
      <c r="AF523" t="s">
        <v>1437</v>
      </c>
      <c r="AG523" t="s">
        <v>58</v>
      </c>
      <c r="BX523" t="s">
        <v>1717</v>
      </c>
      <c r="BY523" t="s">
        <v>275</v>
      </c>
      <c r="BZ523" t="s">
        <v>1718</v>
      </c>
      <c r="CA523">
        <v>8</v>
      </c>
      <c r="CB523" t="s">
        <v>1715</v>
      </c>
      <c r="CC523" t="s">
        <v>1716</v>
      </c>
    </row>
    <row r="524" spans="1:96" hidden="1">
      <c r="A524" s="32" t="s">
        <v>1091</v>
      </c>
      <c r="B524" s="32" t="s">
        <v>83</v>
      </c>
      <c r="C524" s="23">
        <v>4</v>
      </c>
      <c r="D524" s="23">
        <v>24484200</v>
      </c>
      <c r="E524" s="23">
        <v>16</v>
      </c>
      <c r="F524" s="23"/>
      <c r="G524" s="23" t="s">
        <v>52</v>
      </c>
      <c r="H524" s="23">
        <v>13</v>
      </c>
      <c r="I524" s="23"/>
      <c r="J524" s="23"/>
      <c r="K524" s="23" t="s">
        <v>278</v>
      </c>
      <c r="L524" s="23" t="s">
        <v>1060</v>
      </c>
      <c r="M524" s="23"/>
      <c r="N524" s="23"/>
      <c r="O524" s="23"/>
      <c r="P524" s="23"/>
      <c r="Q524" s="23"/>
      <c r="R524" s="23"/>
      <c r="S524" s="23" t="s">
        <v>64</v>
      </c>
      <c r="T524" s="23"/>
      <c r="U524" s="23" t="s">
        <v>17</v>
      </c>
      <c r="V524" s="23"/>
      <c r="W524" s="33">
        <v>0.01</v>
      </c>
      <c r="Y524" t="s">
        <v>124</v>
      </c>
      <c r="Z524" t="s">
        <v>53</v>
      </c>
      <c r="AA524" t="s">
        <v>51</v>
      </c>
      <c r="AB524" t="s">
        <v>1044</v>
      </c>
      <c r="AF524" t="s">
        <v>1437</v>
      </c>
      <c r="AG524" t="s">
        <v>58</v>
      </c>
      <c r="BX524" t="s">
        <v>1719</v>
      </c>
      <c r="BY524">
        <v>13</v>
      </c>
      <c r="BZ524" t="s">
        <v>763</v>
      </c>
      <c r="CA524" t="s">
        <v>1720</v>
      </c>
      <c r="CB524" t="s">
        <v>1721</v>
      </c>
    </row>
    <row r="525" spans="1:96" hidden="1">
      <c r="A525" s="32" t="s">
        <v>1092</v>
      </c>
      <c r="B525" s="32" t="s">
        <v>79</v>
      </c>
      <c r="C525" s="23">
        <v>101</v>
      </c>
      <c r="D525" s="23">
        <v>4699800</v>
      </c>
      <c r="E525" s="23">
        <v>4</v>
      </c>
      <c r="F525" s="23"/>
      <c r="G525" s="23" t="s">
        <v>52</v>
      </c>
      <c r="H525" s="23" t="s">
        <v>1069</v>
      </c>
      <c r="I525" s="23"/>
      <c r="J525" s="23"/>
      <c r="K525" s="23" t="s">
        <v>1070</v>
      </c>
      <c r="L525" s="23" t="s">
        <v>1060</v>
      </c>
      <c r="M525" s="23"/>
      <c r="N525" s="23"/>
      <c r="O525" s="23"/>
      <c r="P525" s="23"/>
      <c r="Q525" s="23"/>
      <c r="R525" s="23"/>
      <c r="S525" s="23" t="s">
        <v>64</v>
      </c>
      <c r="T525" s="23"/>
      <c r="U525" s="23" t="s">
        <v>17</v>
      </c>
      <c r="V525" s="23"/>
      <c r="W525" s="33">
        <v>0.24</v>
      </c>
      <c r="Y525" t="s">
        <v>124</v>
      </c>
      <c r="Z525" t="s">
        <v>53</v>
      </c>
      <c r="AA525" t="s">
        <v>51</v>
      </c>
      <c r="AB525" t="s">
        <v>1044</v>
      </c>
      <c r="AF525" t="s">
        <v>1437</v>
      </c>
      <c r="AG525" t="s">
        <v>58</v>
      </c>
      <c r="BX525" t="s">
        <v>1713</v>
      </c>
      <c r="BY525" t="s">
        <v>1069</v>
      </c>
      <c r="BZ525" t="s">
        <v>1714</v>
      </c>
      <c r="CA525" s="76">
        <v>46242</v>
      </c>
      <c r="CB525" t="s">
        <v>1740</v>
      </c>
    </row>
    <row r="526" spans="1:96" hidden="1">
      <c r="A526" s="32" t="s">
        <v>1093</v>
      </c>
      <c r="B526" s="32" t="s">
        <v>79</v>
      </c>
      <c r="C526" s="23">
        <v>102</v>
      </c>
      <c r="D526" s="23">
        <v>24723900</v>
      </c>
      <c r="E526" s="23">
        <v>4</v>
      </c>
      <c r="F526" s="23"/>
      <c r="G526" s="23" t="s">
        <v>52</v>
      </c>
      <c r="H526" s="23" t="s">
        <v>126</v>
      </c>
      <c r="I526" s="23"/>
      <c r="J526" s="23"/>
      <c r="K526" s="23" t="s">
        <v>127</v>
      </c>
      <c r="L526" s="23" t="s">
        <v>1060</v>
      </c>
      <c r="M526" s="23"/>
      <c r="N526" s="23"/>
      <c r="O526" s="23"/>
      <c r="P526" s="23"/>
      <c r="Q526" s="23"/>
      <c r="R526" s="23"/>
      <c r="S526" s="23" t="s">
        <v>64</v>
      </c>
      <c r="T526" s="23"/>
      <c r="U526" s="23" t="s">
        <v>17</v>
      </c>
      <c r="V526" s="23"/>
      <c r="W526" s="33">
        <v>0.1</v>
      </c>
      <c r="Y526" t="s">
        <v>124</v>
      </c>
      <c r="Z526" t="s">
        <v>53</v>
      </c>
      <c r="AA526" t="s">
        <v>51</v>
      </c>
      <c r="AB526" t="s">
        <v>1044</v>
      </c>
      <c r="AF526" t="s">
        <v>1437</v>
      </c>
      <c r="AG526" t="s">
        <v>58</v>
      </c>
      <c r="BX526" t="s">
        <v>1717</v>
      </c>
      <c r="BY526" t="s">
        <v>126</v>
      </c>
      <c r="BZ526" t="s">
        <v>1718</v>
      </c>
      <c r="CA526">
        <v>8</v>
      </c>
      <c r="CB526" t="s">
        <v>1715</v>
      </c>
      <c r="CC526" t="s">
        <v>1716</v>
      </c>
    </row>
    <row r="527" spans="1:96" hidden="1">
      <c r="A527" s="32" t="s">
        <v>1094</v>
      </c>
      <c r="B527" s="32" t="s">
        <v>79</v>
      </c>
      <c r="C527" s="23">
        <v>103</v>
      </c>
      <c r="D527" s="23">
        <v>24712900</v>
      </c>
      <c r="E527" s="23">
        <v>8</v>
      </c>
      <c r="F527" s="23"/>
      <c r="G527" s="23" t="s">
        <v>52</v>
      </c>
      <c r="H527" s="23">
        <v>21</v>
      </c>
      <c r="I527" s="23"/>
      <c r="J527" s="23"/>
      <c r="K527" s="23" t="s">
        <v>129</v>
      </c>
      <c r="L527" s="23" t="s">
        <v>1060</v>
      </c>
      <c r="M527" s="23"/>
      <c r="N527" s="23"/>
      <c r="O527" s="23"/>
      <c r="P527" s="23"/>
      <c r="Q527" s="23"/>
      <c r="R527" s="23"/>
      <c r="S527" s="23" t="s">
        <v>64</v>
      </c>
      <c r="T527" s="23"/>
      <c r="U527" s="23" t="s">
        <v>17</v>
      </c>
      <c r="V527" s="23"/>
      <c r="W527" s="33">
        <v>1.7000000000000001E-2</v>
      </c>
      <c r="Y527" t="s">
        <v>124</v>
      </c>
      <c r="Z527" t="s">
        <v>53</v>
      </c>
      <c r="AA527" t="s">
        <v>51</v>
      </c>
      <c r="AB527" t="s">
        <v>1044</v>
      </c>
      <c r="AF527" t="s">
        <v>1437</v>
      </c>
      <c r="AG527" t="s">
        <v>58</v>
      </c>
      <c r="BX527" t="s">
        <v>1719</v>
      </c>
      <c r="BY527">
        <v>21</v>
      </c>
      <c r="BZ527" t="s">
        <v>763</v>
      </c>
      <c r="CA527" t="s">
        <v>1720</v>
      </c>
      <c r="CB527" t="s">
        <v>1721</v>
      </c>
    </row>
    <row r="528" spans="1:96" hidden="1">
      <c r="A528" s="32" t="s">
        <v>1095</v>
      </c>
      <c r="B528" s="32" t="s">
        <v>79</v>
      </c>
      <c r="C528" s="23">
        <v>104</v>
      </c>
      <c r="D528" s="23">
        <v>25397900</v>
      </c>
      <c r="E528" s="23">
        <v>8</v>
      </c>
      <c r="F528" s="23"/>
      <c r="G528" s="23" t="s">
        <v>52</v>
      </c>
      <c r="H528" s="23" t="s">
        <v>280</v>
      </c>
      <c r="I528" s="23"/>
      <c r="J528" s="23"/>
      <c r="K528" s="23" t="s">
        <v>329</v>
      </c>
      <c r="L528" s="23" t="s">
        <v>1060</v>
      </c>
      <c r="M528" s="23"/>
      <c r="N528" s="23"/>
      <c r="O528" s="23"/>
      <c r="P528" s="23"/>
      <c r="Q528" s="23"/>
      <c r="R528" s="23"/>
      <c r="S528" s="23" t="s">
        <v>64</v>
      </c>
      <c r="T528" s="23"/>
      <c r="U528" s="23" t="s">
        <v>17</v>
      </c>
      <c r="V528" s="23"/>
      <c r="W528" s="33">
        <v>3.7999999999999999E-2</v>
      </c>
      <c r="Y528" t="s">
        <v>124</v>
      </c>
      <c r="Z528" t="s">
        <v>53</v>
      </c>
      <c r="AA528" t="s">
        <v>51</v>
      </c>
      <c r="AB528" t="s">
        <v>1044</v>
      </c>
      <c r="AF528" t="s">
        <v>1437</v>
      </c>
      <c r="AG528" t="s">
        <v>58</v>
      </c>
      <c r="BX528" t="s">
        <v>1713</v>
      </c>
      <c r="BY528" t="s">
        <v>280</v>
      </c>
      <c r="BZ528" t="s">
        <v>1714</v>
      </c>
      <c r="CA528" s="76">
        <v>46242</v>
      </c>
      <c r="CB528" t="s">
        <v>1715</v>
      </c>
      <c r="CC528" t="s">
        <v>1716</v>
      </c>
    </row>
    <row r="529" spans="1:96" hidden="1">
      <c r="A529" s="32" t="s">
        <v>1096</v>
      </c>
      <c r="B529" s="32" t="s">
        <v>79</v>
      </c>
      <c r="C529" s="23">
        <v>105</v>
      </c>
      <c r="D529" s="23">
        <v>24707900</v>
      </c>
      <c r="E529" s="23">
        <v>8</v>
      </c>
      <c r="F529" s="23"/>
      <c r="G529" s="23" t="s">
        <v>52</v>
      </c>
      <c r="H529" s="23" t="s">
        <v>275</v>
      </c>
      <c r="I529" s="23"/>
      <c r="J529" s="23"/>
      <c r="K529" s="23" t="s">
        <v>276</v>
      </c>
      <c r="L529" s="23" t="s">
        <v>1060</v>
      </c>
      <c r="M529" s="23"/>
      <c r="N529" s="23"/>
      <c r="O529" s="23"/>
      <c r="P529" s="23"/>
      <c r="Q529" s="23"/>
      <c r="R529" s="23"/>
      <c r="S529" s="23" t="s">
        <v>64</v>
      </c>
      <c r="T529" s="23"/>
      <c r="U529" s="23" t="s">
        <v>17</v>
      </c>
      <c r="V529" s="23"/>
      <c r="W529" s="33">
        <v>1.7000000000000001E-2</v>
      </c>
      <c r="Y529" t="s">
        <v>124</v>
      </c>
      <c r="Z529" t="s">
        <v>53</v>
      </c>
      <c r="AA529" t="s">
        <v>51</v>
      </c>
      <c r="AB529" t="s">
        <v>1044</v>
      </c>
      <c r="AF529" t="s">
        <v>1437</v>
      </c>
      <c r="AG529" t="s">
        <v>58</v>
      </c>
      <c r="BX529" t="s">
        <v>1717</v>
      </c>
      <c r="BY529" t="s">
        <v>275</v>
      </c>
      <c r="BZ529" t="s">
        <v>1718</v>
      </c>
      <c r="CA529">
        <v>8</v>
      </c>
      <c r="CB529" t="s">
        <v>1715</v>
      </c>
      <c r="CC529" t="s">
        <v>1716</v>
      </c>
    </row>
    <row r="530" spans="1:96" hidden="1">
      <c r="A530" s="32" t="s">
        <v>1097</v>
      </c>
      <c r="B530" s="32" t="s">
        <v>79</v>
      </c>
      <c r="C530" s="23">
        <v>106</v>
      </c>
      <c r="D530" s="23">
        <v>24484200</v>
      </c>
      <c r="E530" s="23">
        <v>16</v>
      </c>
      <c r="F530" s="23"/>
      <c r="G530" s="23" t="s">
        <v>52</v>
      </c>
      <c r="H530" s="23">
        <v>13</v>
      </c>
      <c r="I530" s="23"/>
      <c r="J530" s="23"/>
      <c r="K530" s="23" t="s">
        <v>278</v>
      </c>
      <c r="L530" s="23" t="s">
        <v>1060</v>
      </c>
      <c r="M530" s="23"/>
      <c r="N530" s="23"/>
      <c r="O530" s="23"/>
      <c r="P530" s="23"/>
      <c r="Q530" s="23"/>
      <c r="R530" s="23"/>
      <c r="S530" s="23" t="s">
        <v>64</v>
      </c>
      <c r="T530" s="23"/>
      <c r="U530" s="23" t="s">
        <v>17</v>
      </c>
      <c r="V530" s="23"/>
      <c r="W530" s="33">
        <v>0.01</v>
      </c>
      <c r="Y530" t="s">
        <v>124</v>
      </c>
      <c r="Z530" t="s">
        <v>53</v>
      </c>
      <c r="AA530" t="s">
        <v>51</v>
      </c>
      <c r="AB530" t="s">
        <v>1044</v>
      </c>
      <c r="AF530" t="s">
        <v>1437</v>
      </c>
      <c r="AG530" t="s">
        <v>58</v>
      </c>
      <c r="BX530" t="s">
        <v>1719</v>
      </c>
      <c r="BY530">
        <v>13</v>
      </c>
      <c r="BZ530" t="s">
        <v>763</v>
      </c>
      <c r="CA530" t="s">
        <v>1720</v>
      </c>
      <c r="CB530" t="s">
        <v>1721</v>
      </c>
    </row>
    <row r="531" spans="1:96" hidden="1">
      <c r="A531" s="29" t="s">
        <v>1098</v>
      </c>
      <c r="B531" s="29" t="s">
        <v>74</v>
      </c>
      <c r="C531" s="30">
        <v>3</v>
      </c>
      <c r="D531" s="30" t="s">
        <v>1099</v>
      </c>
      <c r="E531" s="30">
        <v>1</v>
      </c>
      <c r="F531" s="30"/>
      <c r="G531" s="30" t="s">
        <v>52</v>
      </c>
      <c r="H531" s="30"/>
      <c r="I531" s="30"/>
      <c r="J531" s="30"/>
      <c r="K531" s="30" t="s">
        <v>1100</v>
      </c>
      <c r="L531" s="30" t="s">
        <v>1099</v>
      </c>
      <c r="M531" s="30">
        <v>4</v>
      </c>
      <c r="N531" s="30"/>
      <c r="O531" s="23"/>
      <c r="P531" s="23"/>
      <c r="Q531" s="23"/>
      <c r="R531" s="23"/>
      <c r="S531" s="23" t="s">
        <v>64</v>
      </c>
      <c r="T531" s="23"/>
      <c r="U531" s="23" t="s">
        <v>54</v>
      </c>
      <c r="V531" s="23"/>
      <c r="W531" s="31">
        <v>3.8639999999999999</v>
      </c>
      <c r="Y531" t="s">
        <v>40</v>
      </c>
      <c r="Z531" t="s">
        <v>53</v>
      </c>
      <c r="AA531" t="s">
        <v>51</v>
      </c>
      <c r="AB531" t="s">
        <v>1044</v>
      </c>
      <c r="AF531" t="s">
        <v>1437</v>
      </c>
      <c r="AG531" t="s">
        <v>58</v>
      </c>
      <c r="BX531" t="s">
        <v>1100</v>
      </c>
    </row>
    <row r="532" spans="1:96" hidden="1">
      <c r="A532" s="29" t="s">
        <v>1101</v>
      </c>
      <c r="B532" s="29" t="s">
        <v>79</v>
      </c>
      <c r="C532" s="30">
        <v>1</v>
      </c>
      <c r="D532" s="30" t="s">
        <v>1102</v>
      </c>
      <c r="E532" s="30">
        <v>2</v>
      </c>
      <c r="F532" s="30"/>
      <c r="G532" s="30" t="s">
        <v>52</v>
      </c>
      <c r="H532" s="30"/>
      <c r="I532" s="30"/>
      <c r="J532" s="30"/>
      <c r="K532" s="30" t="s">
        <v>1100</v>
      </c>
      <c r="L532" s="30" t="s">
        <v>1102</v>
      </c>
      <c r="M532" s="30">
        <v>3</v>
      </c>
      <c r="N532" s="30"/>
      <c r="O532" s="23"/>
      <c r="P532" s="23"/>
      <c r="Q532" s="23"/>
      <c r="R532" s="23"/>
      <c r="S532" s="23" t="s">
        <v>64</v>
      </c>
      <c r="T532" s="23"/>
      <c r="U532" s="23" t="s">
        <v>54</v>
      </c>
      <c r="V532" s="23"/>
      <c r="W532" s="31">
        <v>1.5</v>
      </c>
      <c r="Y532" t="s">
        <v>40</v>
      </c>
      <c r="Z532" t="s">
        <v>53</v>
      </c>
      <c r="AA532" t="s">
        <v>51</v>
      </c>
      <c r="AB532" t="s">
        <v>1044</v>
      </c>
      <c r="AC532" t="s">
        <v>1420</v>
      </c>
      <c r="AF532" t="s">
        <v>1437</v>
      </c>
      <c r="AG532" t="s">
        <v>58</v>
      </c>
      <c r="BX532" t="s">
        <v>1100</v>
      </c>
    </row>
    <row r="533" spans="1:96" hidden="1">
      <c r="A533" s="32" t="s">
        <v>1103</v>
      </c>
      <c r="B533" s="32" t="s">
        <v>83</v>
      </c>
      <c r="C533" s="23">
        <v>1</v>
      </c>
      <c r="D533" s="23">
        <v>3667000</v>
      </c>
      <c r="E533" s="23">
        <v>2</v>
      </c>
      <c r="F533" s="23">
        <v>7.0999999999999994E-2</v>
      </c>
      <c r="G533" s="23" t="s">
        <v>89</v>
      </c>
      <c r="H533" s="23">
        <v>260</v>
      </c>
      <c r="I533" s="23" t="s">
        <v>85</v>
      </c>
      <c r="J533" s="23">
        <v>135</v>
      </c>
      <c r="K533" s="23" t="s">
        <v>240</v>
      </c>
      <c r="L533" s="23" t="s">
        <v>1102</v>
      </c>
      <c r="M533" s="23"/>
      <c r="N533" s="23"/>
      <c r="O533" s="23"/>
      <c r="P533" s="23"/>
      <c r="Q533" s="23"/>
      <c r="R533" s="23"/>
      <c r="S533" s="23" t="s">
        <v>64</v>
      </c>
      <c r="T533" s="23"/>
      <c r="U533" s="23" t="s">
        <v>87</v>
      </c>
      <c r="V533" s="23"/>
      <c r="W533" s="33">
        <v>0</v>
      </c>
      <c r="Y533" t="s">
        <v>161</v>
      </c>
      <c r="Z533" t="s">
        <v>53</v>
      </c>
      <c r="AA533" t="s">
        <v>51</v>
      </c>
      <c r="AB533" t="s">
        <v>1044</v>
      </c>
      <c r="AC533" t="s">
        <v>1420</v>
      </c>
      <c r="AF533" t="s">
        <v>1437</v>
      </c>
      <c r="AG533" t="s">
        <v>58</v>
      </c>
      <c r="AI533" t="str">
        <f>BY533&amp;"_"&amp;CB533&amp;"_"&amp;L533&amp;"_p"&amp;C533&amp;"_"&amp;E533&amp;"st_"&amp;AK533&amp;"_"&amp;RIGHT(AG533,4)&amp;"_"&amp;AL533</f>
        <v>8_S235_SL40072001_p1_2st__2050_</v>
      </c>
      <c r="AM533" t="s">
        <v>1673</v>
      </c>
      <c r="AZ533" s="64" t="s">
        <v>1638</v>
      </c>
      <c r="BA533" s="64" t="s">
        <v>1639</v>
      </c>
      <c r="BX533" t="s">
        <v>1691</v>
      </c>
      <c r="BY533">
        <v>8</v>
      </c>
      <c r="BZ533" t="s">
        <v>1692</v>
      </c>
      <c r="CA533" t="s">
        <v>1693</v>
      </c>
      <c r="CB533" t="s">
        <v>1895</v>
      </c>
      <c r="CG533">
        <v>8</v>
      </c>
      <c r="CH533" t="s">
        <v>1895</v>
      </c>
      <c r="CI533" t="s">
        <v>1102</v>
      </c>
      <c r="CJ533" t="s">
        <v>1898</v>
      </c>
      <c r="CK533" t="s">
        <v>1899</v>
      </c>
      <c r="CL533" t="s">
        <v>1900</v>
      </c>
      <c r="CM533">
        <v>3902</v>
      </c>
      <c r="CN533">
        <v>3</v>
      </c>
      <c r="CR533" t="s">
        <v>2057</v>
      </c>
    </row>
    <row r="534" spans="1:96" hidden="1">
      <c r="A534" s="32" t="s">
        <v>1104</v>
      </c>
      <c r="B534" s="32" t="s">
        <v>79</v>
      </c>
      <c r="C534" s="23">
        <v>101</v>
      </c>
      <c r="D534" s="23">
        <v>25397900</v>
      </c>
      <c r="E534" s="23">
        <v>4</v>
      </c>
      <c r="F534" s="23"/>
      <c r="G534" s="23" t="s">
        <v>52</v>
      </c>
      <c r="H534" s="23" t="s">
        <v>280</v>
      </c>
      <c r="I534" s="23"/>
      <c r="J534" s="23"/>
      <c r="K534" s="23" t="s">
        <v>329</v>
      </c>
      <c r="L534" s="23" t="s">
        <v>1102</v>
      </c>
      <c r="M534" s="23"/>
      <c r="N534" s="23"/>
      <c r="O534" s="23"/>
      <c r="P534" s="23"/>
      <c r="Q534" s="23"/>
      <c r="R534" s="23"/>
      <c r="S534" s="23" t="s">
        <v>64</v>
      </c>
      <c r="T534" s="23"/>
      <c r="U534" s="23" t="s">
        <v>17</v>
      </c>
      <c r="V534" s="23"/>
      <c r="W534" s="33">
        <v>3.7999999999999999E-2</v>
      </c>
      <c r="Y534" t="s">
        <v>124</v>
      </c>
      <c r="Z534" t="s">
        <v>53</v>
      </c>
      <c r="AA534" t="s">
        <v>51</v>
      </c>
      <c r="AB534" t="s">
        <v>1044</v>
      </c>
      <c r="AF534" t="s">
        <v>1437</v>
      </c>
      <c r="AG534" t="s">
        <v>58</v>
      </c>
      <c r="BX534" t="s">
        <v>1713</v>
      </c>
      <c r="BY534" t="s">
        <v>280</v>
      </c>
      <c r="BZ534" t="s">
        <v>1714</v>
      </c>
      <c r="CA534" s="76">
        <v>46242</v>
      </c>
      <c r="CB534" t="s">
        <v>1715</v>
      </c>
      <c r="CC534" t="s">
        <v>1716</v>
      </c>
    </row>
    <row r="535" spans="1:96" hidden="1">
      <c r="A535" s="32" t="s">
        <v>1105</v>
      </c>
      <c r="B535" s="32" t="s">
        <v>79</v>
      </c>
      <c r="C535" s="23">
        <v>102</v>
      </c>
      <c r="D535" s="23">
        <v>24707900</v>
      </c>
      <c r="E535" s="23">
        <v>4</v>
      </c>
      <c r="F535" s="23"/>
      <c r="G535" s="23" t="s">
        <v>52</v>
      </c>
      <c r="H535" s="23" t="s">
        <v>275</v>
      </c>
      <c r="I535" s="23"/>
      <c r="J535" s="23"/>
      <c r="K535" s="23" t="s">
        <v>276</v>
      </c>
      <c r="L535" s="23" t="s">
        <v>1102</v>
      </c>
      <c r="M535" s="23"/>
      <c r="N535" s="23"/>
      <c r="O535" s="23"/>
      <c r="P535" s="23"/>
      <c r="Q535" s="23"/>
      <c r="R535" s="23"/>
      <c r="S535" s="23" t="s">
        <v>64</v>
      </c>
      <c r="T535" s="23"/>
      <c r="U535" s="23" t="s">
        <v>17</v>
      </c>
      <c r="V535" s="23"/>
      <c r="W535" s="33">
        <v>1.7000000000000001E-2</v>
      </c>
      <c r="Y535" t="s">
        <v>124</v>
      </c>
      <c r="Z535" t="s">
        <v>53</v>
      </c>
      <c r="AA535" t="s">
        <v>51</v>
      </c>
      <c r="AB535" t="s">
        <v>1044</v>
      </c>
      <c r="AF535" t="s">
        <v>1437</v>
      </c>
      <c r="AG535" t="s">
        <v>58</v>
      </c>
      <c r="BX535" t="s">
        <v>1717</v>
      </c>
      <c r="BY535" t="s">
        <v>275</v>
      </c>
      <c r="BZ535" t="s">
        <v>1718</v>
      </c>
      <c r="CA535">
        <v>8</v>
      </c>
      <c r="CB535" t="s">
        <v>1715</v>
      </c>
      <c r="CC535" t="s">
        <v>1716</v>
      </c>
    </row>
    <row r="536" spans="1:96" hidden="1">
      <c r="A536" s="32" t="s">
        <v>1106</v>
      </c>
      <c r="B536" s="32" t="s">
        <v>79</v>
      </c>
      <c r="C536" s="23">
        <v>103</v>
      </c>
      <c r="D536" s="23">
        <v>2357600</v>
      </c>
      <c r="E536" s="23">
        <v>8</v>
      </c>
      <c r="F536" s="23"/>
      <c r="G536" s="23" t="s">
        <v>52</v>
      </c>
      <c r="H536" s="23">
        <v>13</v>
      </c>
      <c r="I536" s="23"/>
      <c r="J536" s="23"/>
      <c r="K536" s="23" t="s">
        <v>1107</v>
      </c>
      <c r="L536" s="23" t="s">
        <v>1102</v>
      </c>
      <c r="M536" s="23"/>
      <c r="N536" s="23"/>
      <c r="O536" s="23"/>
      <c r="P536" s="23"/>
      <c r="Q536" s="23"/>
      <c r="R536" s="23"/>
      <c r="S536" s="23" t="s">
        <v>64</v>
      </c>
      <c r="T536" s="23"/>
      <c r="U536" s="23" t="s">
        <v>17</v>
      </c>
      <c r="V536" s="23"/>
      <c r="W536" s="33">
        <v>6.0000000000000001E-3</v>
      </c>
      <c r="Y536" t="s">
        <v>124</v>
      </c>
      <c r="Z536" t="s">
        <v>53</v>
      </c>
      <c r="AA536" t="s">
        <v>51</v>
      </c>
      <c r="AB536" t="s">
        <v>1044</v>
      </c>
      <c r="AF536" t="s">
        <v>1437</v>
      </c>
      <c r="AG536" t="s">
        <v>58</v>
      </c>
      <c r="BX536" t="s">
        <v>1719</v>
      </c>
      <c r="BY536">
        <v>13</v>
      </c>
      <c r="BZ536" t="s">
        <v>1720</v>
      </c>
      <c r="CA536" t="s">
        <v>1734</v>
      </c>
    </row>
    <row r="537" spans="1:96" hidden="1">
      <c r="A537" s="32" t="s">
        <v>1108</v>
      </c>
      <c r="B537" s="32" t="s">
        <v>79</v>
      </c>
      <c r="C537" s="23">
        <v>201</v>
      </c>
      <c r="D537" s="23">
        <v>1606200</v>
      </c>
      <c r="E537" s="23">
        <v>2</v>
      </c>
      <c r="F537" s="23"/>
      <c r="G537" s="23" t="s">
        <v>52</v>
      </c>
      <c r="H537" s="23" t="s">
        <v>1109</v>
      </c>
      <c r="I537" s="23"/>
      <c r="J537" s="23"/>
      <c r="K537" s="23" t="s">
        <v>1110</v>
      </c>
      <c r="L537" s="23" t="s">
        <v>1102</v>
      </c>
      <c r="M537" s="23"/>
      <c r="N537" s="23"/>
      <c r="O537" s="23"/>
      <c r="P537" s="23"/>
      <c r="Q537" s="23"/>
      <c r="R537" s="23"/>
      <c r="S537" s="23" t="s">
        <v>64</v>
      </c>
      <c r="T537" s="23"/>
      <c r="U537" s="23" t="s">
        <v>17</v>
      </c>
      <c r="V537" s="23"/>
      <c r="W537" s="33">
        <v>0.2</v>
      </c>
      <c r="Y537" t="s">
        <v>124</v>
      </c>
      <c r="Z537" t="s">
        <v>53</v>
      </c>
      <c r="AA537" t="s">
        <v>51</v>
      </c>
      <c r="AB537" t="s">
        <v>1044</v>
      </c>
      <c r="AF537" t="s">
        <v>1437</v>
      </c>
      <c r="AG537" t="s">
        <v>58</v>
      </c>
      <c r="BX537" t="s">
        <v>1713</v>
      </c>
      <c r="BY537" t="s">
        <v>1109</v>
      </c>
      <c r="BZ537" t="s">
        <v>1714</v>
      </c>
      <c r="CA537" s="76">
        <v>46242</v>
      </c>
      <c r="CB537" t="s">
        <v>1715</v>
      </c>
      <c r="CC537" t="s">
        <v>1716</v>
      </c>
    </row>
    <row r="538" spans="1:96" hidden="1">
      <c r="A538" s="32" t="s">
        <v>1111</v>
      </c>
      <c r="B538" s="32" t="s">
        <v>79</v>
      </c>
      <c r="C538" s="23">
        <v>202</v>
      </c>
      <c r="D538" s="23">
        <v>24723900</v>
      </c>
      <c r="E538" s="23">
        <v>2</v>
      </c>
      <c r="F538" s="23"/>
      <c r="G538" s="23" t="s">
        <v>52</v>
      </c>
      <c r="H538" s="23" t="s">
        <v>126</v>
      </c>
      <c r="I538" s="23"/>
      <c r="J538" s="23"/>
      <c r="K538" s="23" t="s">
        <v>127</v>
      </c>
      <c r="L538" s="23" t="s">
        <v>1102</v>
      </c>
      <c r="M538" s="23"/>
      <c r="N538" s="23"/>
      <c r="O538" s="23"/>
      <c r="P538" s="23"/>
      <c r="Q538" s="23"/>
      <c r="R538" s="23"/>
      <c r="S538" s="23" t="s">
        <v>64</v>
      </c>
      <c r="T538" s="23"/>
      <c r="U538" s="23" t="s">
        <v>17</v>
      </c>
      <c r="V538" s="23"/>
      <c r="W538" s="33">
        <v>0.1</v>
      </c>
      <c r="Y538" t="s">
        <v>124</v>
      </c>
      <c r="Z538" t="s">
        <v>53</v>
      </c>
      <c r="AA538" t="s">
        <v>51</v>
      </c>
      <c r="AB538" t="s">
        <v>1044</v>
      </c>
      <c r="AF538" t="s">
        <v>1437</v>
      </c>
      <c r="AG538" t="s">
        <v>58</v>
      </c>
      <c r="BX538" t="s">
        <v>1717</v>
      </c>
      <c r="BY538" t="s">
        <v>126</v>
      </c>
      <c r="BZ538" t="s">
        <v>1718</v>
      </c>
      <c r="CA538">
        <v>8</v>
      </c>
      <c r="CB538" t="s">
        <v>1715</v>
      </c>
      <c r="CC538" t="s">
        <v>1716</v>
      </c>
    </row>
    <row r="539" spans="1:96" hidden="1">
      <c r="A539" s="32" t="s">
        <v>1112</v>
      </c>
      <c r="B539" s="32" t="s">
        <v>79</v>
      </c>
      <c r="C539" s="23">
        <v>203</v>
      </c>
      <c r="D539" s="23">
        <v>2779500</v>
      </c>
      <c r="E539" s="23">
        <v>4</v>
      </c>
      <c r="F539" s="23"/>
      <c r="G539" s="23" t="s">
        <v>52</v>
      </c>
      <c r="H539" s="23"/>
      <c r="I539" s="23"/>
      <c r="J539" s="23"/>
      <c r="K539" s="23" t="s">
        <v>1113</v>
      </c>
      <c r="L539" s="23" t="s">
        <v>1102</v>
      </c>
      <c r="M539" s="23"/>
      <c r="N539" s="23"/>
      <c r="O539" s="23"/>
      <c r="P539" s="23"/>
      <c r="Q539" s="23"/>
      <c r="R539" s="23"/>
      <c r="S539" s="23" t="s">
        <v>64</v>
      </c>
      <c r="T539" s="23"/>
      <c r="U539" s="23" t="s">
        <v>17</v>
      </c>
      <c r="V539" s="23"/>
      <c r="W539" s="33">
        <v>1.7000000000000001E-2</v>
      </c>
      <c r="Y539" t="s">
        <v>124</v>
      </c>
      <c r="Z539" t="s">
        <v>53</v>
      </c>
      <c r="AA539" t="s">
        <v>51</v>
      </c>
      <c r="AB539" t="s">
        <v>1044</v>
      </c>
      <c r="AF539" t="s">
        <v>1437</v>
      </c>
      <c r="AG539" t="s">
        <v>58</v>
      </c>
      <c r="BX539" t="s">
        <v>1719</v>
      </c>
      <c r="BY539">
        <v>21</v>
      </c>
      <c r="BZ539" t="s">
        <v>1707</v>
      </c>
      <c r="CA539" t="s">
        <v>1818</v>
      </c>
      <c r="CB539" t="s">
        <v>1823</v>
      </c>
    </row>
    <row r="540" spans="1:96" hidden="1">
      <c r="A540" s="29" t="s">
        <v>1114</v>
      </c>
      <c r="B540" s="29" t="s">
        <v>74</v>
      </c>
      <c r="C540" s="30">
        <v>4</v>
      </c>
      <c r="D540" s="30" t="s">
        <v>1115</v>
      </c>
      <c r="E540" s="30">
        <v>2</v>
      </c>
      <c r="F540" s="30"/>
      <c r="G540" s="30" t="s">
        <v>52</v>
      </c>
      <c r="H540" s="30"/>
      <c r="I540" s="30"/>
      <c r="J540" s="30"/>
      <c r="K540" s="30" t="s">
        <v>1116</v>
      </c>
      <c r="L540" s="30" t="s">
        <v>1115</v>
      </c>
      <c r="M540" s="30">
        <v>4</v>
      </c>
      <c r="N540" s="30" t="s">
        <v>763</v>
      </c>
      <c r="O540" s="23"/>
      <c r="P540" s="23"/>
      <c r="Q540" s="23"/>
      <c r="R540" s="23"/>
      <c r="S540" s="23" t="s">
        <v>64</v>
      </c>
      <c r="T540" s="23"/>
      <c r="U540" s="23" t="s">
        <v>54</v>
      </c>
      <c r="V540" s="23"/>
      <c r="W540" s="31">
        <v>6.3920000000000003</v>
      </c>
      <c r="Y540" t="s">
        <v>40</v>
      </c>
      <c r="Z540" t="s">
        <v>53</v>
      </c>
      <c r="AA540" t="s">
        <v>51</v>
      </c>
      <c r="AB540" t="s">
        <v>1044</v>
      </c>
      <c r="AF540" t="s">
        <v>1437</v>
      </c>
      <c r="AG540" t="s">
        <v>58</v>
      </c>
      <c r="BX540" t="s">
        <v>1116</v>
      </c>
    </row>
    <row r="541" spans="1:96" hidden="1">
      <c r="A541" s="29" t="s">
        <v>1117</v>
      </c>
      <c r="B541" s="29" t="s">
        <v>79</v>
      </c>
      <c r="C541" s="30">
        <v>1</v>
      </c>
      <c r="D541" s="30" t="s">
        <v>1118</v>
      </c>
      <c r="E541" s="30">
        <v>4</v>
      </c>
      <c r="F541" s="30"/>
      <c r="G541" s="30" t="s">
        <v>52</v>
      </c>
      <c r="H541" s="30"/>
      <c r="I541" s="30"/>
      <c r="J541" s="30"/>
      <c r="K541" s="30" t="s">
        <v>1119</v>
      </c>
      <c r="L541" s="30" t="s">
        <v>1118</v>
      </c>
      <c r="M541" s="30">
        <v>3</v>
      </c>
      <c r="N541" s="30" t="s">
        <v>17</v>
      </c>
      <c r="O541" s="23"/>
      <c r="P541" s="23"/>
      <c r="Q541" s="23"/>
      <c r="R541" s="23"/>
      <c r="S541" s="23" t="s">
        <v>64</v>
      </c>
      <c r="T541" s="23"/>
      <c r="U541" s="23" t="s">
        <v>54</v>
      </c>
      <c r="V541" s="23"/>
      <c r="W541" s="31">
        <v>2.5139999999999998</v>
      </c>
      <c r="Y541" t="s">
        <v>40</v>
      </c>
      <c r="Z541" t="s">
        <v>53</v>
      </c>
      <c r="AA541" t="s">
        <v>51</v>
      </c>
      <c r="AB541" t="s">
        <v>1044</v>
      </c>
      <c r="AC541" t="s">
        <v>1420</v>
      </c>
      <c r="AF541" t="s">
        <v>1437</v>
      </c>
      <c r="AG541" t="s">
        <v>58</v>
      </c>
      <c r="BX541" t="s">
        <v>1119</v>
      </c>
    </row>
    <row r="542" spans="1:96" hidden="1">
      <c r="A542" s="32" t="s">
        <v>1120</v>
      </c>
      <c r="B542" s="32" t="s">
        <v>83</v>
      </c>
      <c r="C542" s="23">
        <v>1</v>
      </c>
      <c r="D542" s="23">
        <v>3100</v>
      </c>
      <c r="E542" s="23">
        <v>4</v>
      </c>
      <c r="F542" s="23">
        <v>0.13500000000000001</v>
      </c>
      <c r="G542" s="23" t="s">
        <v>89</v>
      </c>
      <c r="H542" s="23">
        <v>180</v>
      </c>
      <c r="I542" s="23" t="s">
        <v>85</v>
      </c>
      <c r="J542" s="23">
        <v>190</v>
      </c>
      <c r="K542" s="23" t="s">
        <v>385</v>
      </c>
      <c r="L542" s="23" t="s">
        <v>1118</v>
      </c>
      <c r="M542" s="23"/>
      <c r="N542" s="23"/>
      <c r="O542" s="23"/>
      <c r="P542" s="23"/>
      <c r="Q542" s="23"/>
      <c r="R542" s="23"/>
      <c r="S542" s="23" t="s">
        <v>64</v>
      </c>
      <c r="T542" s="23"/>
      <c r="U542" s="23" t="s">
        <v>87</v>
      </c>
      <c r="V542" s="23"/>
      <c r="W542" s="33">
        <v>0</v>
      </c>
      <c r="Y542" t="s">
        <v>161</v>
      </c>
      <c r="Z542" t="s">
        <v>53</v>
      </c>
      <c r="AA542" t="s">
        <v>51</v>
      </c>
      <c r="AB542" t="s">
        <v>1044</v>
      </c>
      <c r="AC542" t="s">
        <v>1420</v>
      </c>
      <c r="AF542" t="s">
        <v>1437</v>
      </c>
      <c r="AG542" t="s">
        <v>58</v>
      </c>
      <c r="AI542" t="str">
        <f t="shared" ref="AI542:AI543" si="89">BY542&amp;"_"&amp;CB542&amp;"_"&amp;L542&amp;"_p"&amp;C542&amp;"_"&amp;E542&amp;"st_"&amp;AK542&amp;"_"&amp;RIGHT(AG542,4)&amp;"_"&amp;AL542</f>
        <v>10_S235_SL40072002_p1_4st__2050_</v>
      </c>
      <c r="AM542" t="s">
        <v>1673</v>
      </c>
      <c r="AZ542" s="64" t="s">
        <v>1640</v>
      </c>
      <c r="BA542" s="64" t="s">
        <v>1641</v>
      </c>
      <c r="BX542" t="s">
        <v>1691</v>
      </c>
      <c r="BY542">
        <v>10</v>
      </c>
      <c r="BZ542" t="s">
        <v>1692</v>
      </c>
      <c r="CA542" t="s">
        <v>1736</v>
      </c>
      <c r="CB542" t="s">
        <v>1895</v>
      </c>
      <c r="CG542">
        <v>10</v>
      </c>
      <c r="CH542" t="s">
        <v>1895</v>
      </c>
      <c r="CI542" t="s">
        <v>1118</v>
      </c>
      <c r="CJ542" t="s">
        <v>1898</v>
      </c>
      <c r="CK542" t="s">
        <v>1917</v>
      </c>
      <c r="CL542" t="s">
        <v>19</v>
      </c>
      <c r="CM542">
        <v>3902</v>
      </c>
      <c r="CR542" t="s">
        <v>2058</v>
      </c>
    </row>
    <row r="543" spans="1:96" hidden="1">
      <c r="A543" s="32" t="s">
        <v>1121</v>
      </c>
      <c r="B543" s="32" t="s">
        <v>83</v>
      </c>
      <c r="C543" s="23">
        <v>2</v>
      </c>
      <c r="D543" s="23">
        <v>3100</v>
      </c>
      <c r="E543" s="23">
        <v>4</v>
      </c>
      <c r="F543" s="23">
        <v>1.2999999999999999E-2</v>
      </c>
      <c r="G543" s="23" t="s">
        <v>89</v>
      </c>
      <c r="H543" s="23">
        <v>100</v>
      </c>
      <c r="I543" s="23" t="s">
        <v>85</v>
      </c>
      <c r="J543" s="23">
        <v>30</v>
      </c>
      <c r="K543" s="23" t="s">
        <v>385</v>
      </c>
      <c r="L543" s="23" t="s">
        <v>1118</v>
      </c>
      <c r="M543" s="23"/>
      <c r="N543" s="23"/>
      <c r="O543" s="23"/>
      <c r="P543" s="23"/>
      <c r="Q543" s="23"/>
      <c r="R543" s="23"/>
      <c r="S543" s="23" t="s">
        <v>64</v>
      </c>
      <c r="T543" s="23"/>
      <c r="U543" s="23" t="s">
        <v>87</v>
      </c>
      <c r="V543" s="23"/>
      <c r="W543" s="33">
        <v>0</v>
      </c>
      <c r="Y543" t="s">
        <v>161</v>
      </c>
      <c r="Z543" t="s">
        <v>53</v>
      </c>
      <c r="AA543" t="s">
        <v>51</v>
      </c>
      <c r="AB543" t="s">
        <v>1044</v>
      </c>
      <c r="AC543" t="s">
        <v>1420</v>
      </c>
      <c r="AF543" t="s">
        <v>1437</v>
      </c>
      <c r="AG543" t="s">
        <v>58</v>
      </c>
      <c r="AI543" t="str">
        <f t="shared" si="89"/>
        <v>10_S235_SL40072002_p2_4st__2050_</v>
      </c>
      <c r="AM543" t="s">
        <v>1673</v>
      </c>
      <c r="AZ543" s="64" t="s">
        <v>1642</v>
      </c>
      <c r="BA543" s="64" t="s">
        <v>1643</v>
      </c>
      <c r="BX543" t="s">
        <v>1691</v>
      </c>
      <c r="BY543">
        <v>10</v>
      </c>
      <c r="BZ543" t="s">
        <v>1692</v>
      </c>
      <c r="CA543" t="s">
        <v>1736</v>
      </c>
      <c r="CB543" t="s">
        <v>1895</v>
      </c>
      <c r="CG543">
        <v>10</v>
      </c>
      <c r="CH543" t="s">
        <v>1895</v>
      </c>
      <c r="CI543" t="s">
        <v>1118</v>
      </c>
      <c r="CJ543" t="s">
        <v>1901</v>
      </c>
      <c r="CK543" t="s">
        <v>1917</v>
      </c>
      <c r="CL543" t="s">
        <v>1921</v>
      </c>
      <c r="CM543">
        <v>3902</v>
      </c>
      <c r="CR543" t="s">
        <v>2059</v>
      </c>
    </row>
    <row r="544" spans="1:96" hidden="1">
      <c r="A544" s="32" t="s">
        <v>1122</v>
      </c>
      <c r="B544" s="32" t="s">
        <v>79</v>
      </c>
      <c r="C544" s="23">
        <v>101</v>
      </c>
      <c r="D544" s="23">
        <v>24379100</v>
      </c>
      <c r="E544" s="23">
        <v>16</v>
      </c>
      <c r="F544" s="23"/>
      <c r="G544" s="23" t="s">
        <v>52</v>
      </c>
      <c r="H544" s="23" t="s">
        <v>272</v>
      </c>
      <c r="I544" s="23"/>
      <c r="J544" s="23"/>
      <c r="K544" s="23" t="s">
        <v>273</v>
      </c>
      <c r="L544" s="23" t="s">
        <v>1118</v>
      </c>
      <c r="M544" s="23"/>
      <c r="N544" s="23"/>
      <c r="O544" s="23"/>
      <c r="P544" s="23"/>
      <c r="Q544" s="23"/>
      <c r="R544" s="23"/>
      <c r="S544" s="23" t="s">
        <v>64</v>
      </c>
      <c r="T544" s="23"/>
      <c r="U544" s="23" t="s">
        <v>17</v>
      </c>
      <c r="V544" s="23"/>
      <c r="W544" s="33">
        <v>4.1000000000000002E-2</v>
      </c>
      <c r="Y544" t="s">
        <v>124</v>
      </c>
      <c r="Z544" t="s">
        <v>53</v>
      </c>
      <c r="AA544" t="s">
        <v>51</v>
      </c>
      <c r="AB544" t="s">
        <v>1044</v>
      </c>
      <c r="AF544" t="s">
        <v>1437</v>
      </c>
      <c r="AG544" t="s">
        <v>58</v>
      </c>
      <c r="BX544" t="s">
        <v>1713</v>
      </c>
      <c r="BY544" t="s">
        <v>272</v>
      </c>
      <c r="BZ544" t="s">
        <v>1714</v>
      </c>
      <c r="CA544" s="76">
        <v>46242</v>
      </c>
      <c r="CB544" t="s">
        <v>1715</v>
      </c>
      <c r="CC544" t="s">
        <v>1716</v>
      </c>
    </row>
    <row r="545" spans="1:98" hidden="1">
      <c r="A545" s="32" t="s">
        <v>1123</v>
      </c>
      <c r="B545" s="32" t="s">
        <v>79</v>
      </c>
      <c r="C545" s="23">
        <v>102</v>
      </c>
      <c r="D545" s="23">
        <v>24707900</v>
      </c>
      <c r="E545" s="23">
        <v>16</v>
      </c>
      <c r="F545" s="23"/>
      <c r="G545" s="23" t="s">
        <v>52</v>
      </c>
      <c r="H545" s="23" t="s">
        <v>275</v>
      </c>
      <c r="I545" s="23"/>
      <c r="J545" s="23"/>
      <c r="K545" s="23" t="s">
        <v>276</v>
      </c>
      <c r="L545" s="23" t="s">
        <v>1118</v>
      </c>
      <c r="M545" s="23"/>
      <c r="N545" s="23"/>
      <c r="O545" s="23"/>
      <c r="P545" s="23"/>
      <c r="Q545" s="23"/>
      <c r="R545" s="23"/>
      <c r="S545" s="23" t="s">
        <v>64</v>
      </c>
      <c r="T545" s="23"/>
      <c r="U545" s="23" t="s">
        <v>17</v>
      </c>
      <c r="V545" s="23"/>
      <c r="W545" s="33">
        <v>1.7000000000000001E-2</v>
      </c>
      <c r="Y545" t="s">
        <v>124</v>
      </c>
      <c r="Z545" t="s">
        <v>53</v>
      </c>
      <c r="AA545" t="s">
        <v>51</v>
      </c>
      <c r="AB545" t="s">
        <v>1044</v>
      </c>
      <c r="AF545" t="s">
        <v>1437</v>
      </c>
      <c r="AG545" t="s">
        <v>58</v>
      </c>
      <c r="BX545" t="s">
        <v>1717</v>
      </c>
      <c r="BY545" t="s">
        <v>275</v>
      </c>
      <c r="BZ545" t="s">
        <v>1718</v>
      </c>
      <c r="CA545">
        <v>8</v>
      </c>
      <c r="CB545" t="s">
        <v>1715</v>
      </c>
      <c r="CC545" t="s">
        <v>1716</v>
      </c>
    </row>
    <row r="546" spans="1:98" hidden="1">
      <c r="A546" s="32" t="s">
        <v>1124</v>
      </c>
      <c r="B546" s="32" t="s">
        <v>79</v>
      </c>
      <c r="C546" s="23">
        <v>103</v>
      </c>
      <c r="D546" s="23">
        <v>24484200</v>
      </c>
      <c r="E546" s="23">
        <v>32</v>
      </c>
      <c r="F546" s="23"/>
      <c r="G546" s="23" t="s">
        <v>52</v>
      </c>
      <c r="H546" s="23">
        <v>13</v>
      </c>
      <c r="I546" s="23"/>
      <c r="J546" s="23"/>
      <c r="K546" s="23" t="s">
        <v>278</v>
      </c>
      <c r="L546" s="23" t="s">
        <v>1118</v>
      </c>
      <c r="M546" s="23"/>
      <c r="N546" s="23"/>
      <c r="O546" s="23"/>
      <c r="P546" s="23"/>
      <c r="Q546" s="23"/>
      <c r="R546" s="23"/>
      <c r="S546" s="23" t="s">
        <v>64</v>
      </c>
      <c r="T546" s="23"/>
      <c r="U546" s="23" t="s">
        <v>17</v>
      </c>
      <c r="V546" s="23"/>
      <c r="W546" s="33">
        <v>0.01</v>
      </c>
      <c r="Y546" t="s">
        <v>124</v>
      </c>
      <c r="Z546" t="s">
        <v>53</v>
      </c>
      <c r="AA546" t="s">
        <v>51</v>
      </c>
      <c r="AB546" t="s">
        <v>1044</v>
      </c>
      <c r="AF546" t="s">
        <v>1437</v>
      </c>
      <c r="AG546" t="s">
        <v>58</v>
      </c>
      <c r="BX546" t="s">
        <v>1719</v>
      </c>
      <c r="BY546">
        <v>13</v>
      </c>
      <c r="BZ546" t="s">
        <v>763</v>
      </c>
      <c r="CA546" t="s">
        <v>1720</v>
      </c>
      <c r="CB546" t="s">
        <v>1721</v>
      </c>
    </row>
    <row r="547" spans="1:98" hidden="1">
      <c r="A547" s="32" t="s">
        <v>1125</v>
      </c>
      <c r="B547" s="32" t="s">
        <v>79</v>
      </c>
      <c r="C547" s="23">
        <v>104</v>
      </c>
      <c r="D547" s="23">
        <v>1606200</v>
      </c>
      <c r="E547" s="23">
        <v>4</v>
      </c>
      <c r="F547" s="23"/>
      <c r="G547" s="23" t="s">
        <v>52</v>
      </c>
      <c r="H547" s="23" t="s">
        <v>1109</v>
      </c>
      <c r="I547" s="23"/>
      <c r="J547" s="23"/>
      <c r="K547" s="23" t="s">
        <v>1110</v>
      </c>
      <c r="L547" s="23" t="s">
        <v>1118</v>
      </c>
      <c r="M547" s="23"/>
      <c r="N547" s="23"/>
      <c r="O547" s="23"/>
      <c r="P547" s="23"/>
      <c r="Q547" s="23"/>
      <c r="R547" s="23"/>
      <c r="S547" s="23" t="s">
        <v>64</v>
      </c>
      <c r="T547" s="23"/>
      <c r="U547" s="23" t="s">
        <v>17</v>
      </c>
      <c r="V547" s="23"/>
      <c r="W547" s="33">
        <v>0.2</v>
      </c>
      <c r="Y547" t="s">
        <v>124</v>
      </c>
      <c r="Z547" t="s">
        <v>53</v>
      </c>
      <c r="AA547" t="s">
        <v>51</v>
      </c>
      <c r="AB547" t="s">
        <v>1044</v>
      </c>
      <c r="AF547" t="s">
        <v>1437</v>
      </c>
      <c r="AG547" t="s">
        <v>58</v>
      </c>
      <c r="BX547" t="s">
        <v>1713</v>
      </c>
      <c r="BY547" t="s">
        <v>1109</v>
      </c>
      <c r="BZ547" t="s">
        <v>1714</v>
      </c>
      <c r="CA547" s="76">
        <v>46242</v>
      </c>
      <c r="CB547" t="s">
        <v>1715</v>
      </c>
      <c r="CC547" t="s">
        <v>1716</v>
      </c>
    </row>
    <row r="548" spans="1:98" hidden="1">
      <c r="A548" s="32" t="s">
        <v>1126</v>
      </c>
      <c r="B548" s="32" t="s">
        <v>79</v>
      </c>
      <c r="C548" s="23">
        <v>105</v>
      </c>
      <c r="D548" s="23">
        <v>24723900</v>
      </c>
      <c r="E548" s="23">
        <v>4</v>
      </c>
      <c r="F548" s="23"/>
      <c r="G548" s="23" t="s">
        <v>52</v>
      </c>
      <c r="H548" s="23" t="s">
        <v>126</v>
      </c>
      <c r="I548" s="23"/>
      <c r="J548" s="23"/>
      <c r="K548" s="23" t="s">
        <v>127</v>
      </c>
      <c r="L548" s="23" t="s">
        <v>1118</v>
      </c>
      <c r="M548" s="23"/>
      <c r="N548" s="23"/>
      <c r="O548" s="23"/>
      <c r="P548" s="23"/>
      <c r="Q548" s="23"/>
      <c r="R548" s="23"/>
      <c r="S548" s="23" t="s">
        <v>64</v>
      </c>
      <c r="T548" s="23"/>
      <c r="U548" s="23" t="s">
        <v>17</v>
      </c>
      <c r="V548" s="23"/>
      <c r="W548" s="33">
        <v>0.1</v>
      </c>
      <c r="Y548" t="s">
        <v>124</v>
      </c>
      <c r="Z548" t="s">
        <v>53</v>
      </c>
      <c r="AA548" t="s">
        <v>51</v>
      </c>
      <c r="AB548" t="s">
        <v>1044</v>
      </c>
      <c r="AF548" t="s">
        <v>1437</v>
      </c>
      <c r="AG548" t="s">
        <v>58</v>
      </c>
      <c r="BX548" t="s">
        <v>1717</v>
      </c>
      <c r="BY548" t="s">
        <v>126</v>
      </c>
      <c r="BZ548" t="s">
        <v>1718</v>
      </c>
      <c r="CA548">
        <v>8</v>
      </c>
      <c r="CB548" t="s">
        <v>1715</v>
      </c>
      <c r="CC548" t="s">
        <v>1716</v>
      </c>
    </row>
    <row r="549" spans="1:98" hidden="1">
      <c r="A549" s="32" t="s">
        <v>1127</v>
      </c>
      <c r="B549" s="32" t="s">
        <v>79</v>
      </c>
      <c r="C549" s="23">
        <v>106</v>
      </c>
      <c r="D549" s="23">
        <v>24712900</v>
      </c>
      <c r="E549" s="23">
        <v>8</v>
      </c>
      <c r="F549" s="23"/>
      <c r="G549" s="23" t="s">
        <v>52</v>
      </c>
      <c r="H549" s="23">
        <v>21</v>
      </c>
      <c r="I549" s="23"/>
      <c r="J549" s="23"/>
      <c r="K549" s="23" t="s">
        <v>129</v>
      </c>
      <c r="L549" s="23" t="s">
        <v>1118</v>
      </c>
      <c r="M549" s="23"/>
      <c r="N549" s="23"/>
      <c r="O549" s="23"/>
      <c r="P549" s="23"/>
      <c r="Q549" s="23"/>
      <c r="R549" s="23"/>
      <c r="S549" s="23" t="s">
        <v>64</v>
      </c>
      <c r="T549" s="23"/>
      <c r="U549" s="23" t="s">
        <v>17</v>
      </c>
      <c r="V549" s="23"/>
      <c r="W549" s="33">
        <v>1.7000000000000001E-2</v>
      </c>
      <c r="Y549" t="s">
        <v>124</v>
      </c>
      <c r="Z549" t="s">
        <v>53</v>
      </c>
      <c r="AA549" t="s">
        <v>51</v>
      </c>
      <c r="AB549" t="s">
        <v>1044</v>
      </c>
      <c r="AF549" t="s">
        <v>1437</v>
      </c>
      <c r="AG549" t="s">
        <v>58</v>
      </c>
      <c r="BX549" t="s">
        <v>1719</v>
      </c>
      <c r="BY549">
        <v>21</v>
      </c>
      <c r="BZ549" t="s">
        <v>763</v>
      </c>
      <c r="CA549" t="s">
        <v>1720</v>
      </c>
      <c r="CB549" t="s">
        <v>1721</v>
      </c>
    </row>
    <row r="550" spans="1:98" hidden="1">
      <c r="A550" s="29" t="s">
        <v>1128</v>
      </c>
      <c r="B550" s="29" t="s">
        <v>74</v>
      </c>
      <c r="C550" s="30">
        <v>5</v>
      </c>
      <c r="D550" s="30" t="s">
        <v>1129</v>
      </c>
      <c r="E550" s="30">
        <v>1</v>
      </c>
      <c r="F550" s="30"/>
      <c r="G550" s="30" t="s">
        <v>52</v>
      </c>
      <c r="H550" s="30"/>
      <c r="I550" s="30"/>
      <c r="J550" s="30"/>
      <c r="K550" s="30" t="s">
        <v>1130</v>
      </c>
      <c r="L550" s="30" t="s">
        <v>1129</v>
      </c>
      <c r="M550" s="30">
        <v>3</v>
      </c>
      <c r="N550" s="30"/>
      <c r="O550" s="23"/>
      <c r="P550" s="23"/>
      <c r="Q550" s="23"/>
      <c r="R550" s="23"/>
      <c r="S550" s="23" t="s">
        <v>64</v>
      </c>
      <c r="T550" s="23"/>
      <c r="U550" s="23" t="s">
        <v>54</v>
      </c>
      <c r="V550" s="23"/>
      <c r="W550" s="31">
        <v>14.986000000000001</v>
      </c>
      <c r="Y550" t="s">
        <v>40</v>
      </c>
      <c r="Z550" t="s">
        <v>53</v>
      </c>
      <c r="AA550" t="s">
        <v>51</v>
      </c>
      <c r="AB550" t="s">
        <v>1044</v>
      </c>
      <c r="AF550" t="s">
        <v>1437</v>
      </c>
      <c r="AG550" t="s">
        <v>58</v>
      </c>
      <c r="BX550" t="s">
        <v>1130</v>
      </c>
    </row>
    <row r="551" spans="1:98" hidden="1">
      <c r="A551" s="29" t="s">
        <v>1131</v>
      </c>
      <c r="B551" s="29" t="s">
        <v>79</v>
      </c>
      <c r="C551" s="30">
        <v>1</v>
      </c>
      <c r="D551" s="30" t="s">
        <v>1132</v>
      </c>
      <c r="E551" s="30">
        <v>1</v>
      </c>
      <c r="F551" s="30"/>
      <c r="G551" s="30" t="s">
        <v>52</v>
      </c>
      <c r="H551" s="30"/>
      <c r="I551" s="30"/>
      <c r="J551" s="30"/>
      <c r="K551" s="30" t="s">
        <v>1133</v>
      </c>
      <c r="L551" s="30" t="s">
        <v>1132</v>
      </c>
      <c r="M551" s="30">
        <v>3</v>
      </c>
      <c r="N551" s="30"/>
      <c r="O551" s="23"/>
      <c r="P551" s="23"/>
      <c r="Q551" s="23"/>
      <c r="R551" s="23"/>
      <c r="S551" s="23" t="s">
        <v>64</v>
      </c>
      <c r="T551" s="23"/>
      <c r="U551" s="23" t="s">
        <v>54</v>
      </c>
      <c r="V551" s="23"/>
      <c r="W551" s="31">
        <v>6.4989999999999997</v>
      </c>
      <c r="Y551" t="s">
        <v>40</v>
      </c>
      <c r="Z551" t="s">
        <v>53</v>
      </c>
      <c r="AA551" t="s">
        <v>51</v>
      </c>
      <c r="AB551" t="s">
        <v>1044</v>
      </c>
      <c r="AF551" t="s">
        <v>1437</v>
      </c>
      <c r="AG551" t="s">
        <v>58</v>
      </c>
      <c r="BX551" t="s">
        <v>1133</v>
      </c>
    </row>
    <row r="552" spans="1:98" s="79" customFormat="1">
      <c r="A552" s="80" t="s">
        <v>1134</v>
      </c>
      <c r="B552" s="80" t="s">
        <v>83</v>
      </c>
      <c r="C552" s="81">
        <v>1</v>
      </c>
      <c r="D552" s="81">
        <v>3100</v>
      </c>
      <c r="E552" s="81">
        <v>1</v>
      </c>
      <c r="F552" s="81">
        <v>9.4E-2</v>
      </c>
      <c r="G552" s="81" t="s">
        <v>89</v>
      </c>
      <c r="H552" s="81">
        <v>180</v>
      </c>
      <c r="I552" s="81" t="s">
        <v>85</v>
      </c>
      <c r="J552" s="81">
        <v>525</v>
      </c>
      <c r="K552" s="81" t="s">
        <v>385</v>
      </c>
      <c r="L552" s="81" t="s">
        <v>1132</v>
      </c>
      <c r="M552" s="81"/>
      <c r="N552" s="81"/>
      <c r="O552" s="23"/>
      <c r="P552" s="23"/>
      <c r="Q552" s="23"/>
      <c r="R552" s="23"/>
      <c r="S552" s="23" t="s">
        <v>64</v>
      </c>
      <c r="T552" s="23"/>
      <c r="U552" s="23" t="s">
        <v>87</v>
      </c>
      <c r="V552" s="23"/>
      <c r="W552" s="82">
        <v>0</v>
      </c>
      <c r="Y552" s="79" t="s">
        <v>161</v>
      </c>
      <c r="Z552" s="79" t="s">
        <v>53</v>
      </c>
      <c r="AA552" s="79" t="s">
        <v>51</v>
      </c>
      <c r="AB552" s="79" t="s">
        <v>1044</v>
      </c>
      <c r="AF552" s="79" t="s">
        <v>1437</v>
      </c>
      <c r="AG552" s="79" t="s">
        <v>58</v>
      </c>
      <c r="AI552" s="79" t="str">
        <f t="shared" ref="AI552:AI553" si="90">BY552&amp;"_"&amp;CB552&amp;"_"&amp;L552&amp;"_p"&amp;C552&amp;"_"&amp;E552&amp;"st_"&amp;AK552&amp;"_"&amp;RIGHT(AG552,4)&amp;"_"&amp;AL552</f>
        <v>10_S235_SL10523531_p1_1st_S_2050_</v>
      </c>
      <c r="AK552" s="79" t="s">
        <v>19</v>
      </c>
      <c r="AM552" s="79" t="s">
        <v>1675</v>
      </c>
      <c r="AO552"/>
      <c r="AP552"/>
      <c r="AQ552"/>
      <c r="AR552"/>
      <c r="AS552"/>
      <c r="AT552"/>
      <c r="AU552"/>
      <c r="AV552"/>
      <c r="AW552"/>
      <c r="AX552"/>
      <c r="AY552"/>
      <c r="AZ552" s="83" t="s">
        <v>1644</v>
      </c>
      <c r="BA552" s="83" t="s">
        <v>1645</v>
      </c>
      <c r="BX552" s="79" t="s">
        <v>1691</v>
      </c>
      <c r="BY552" s="79">
        <v>10</v>
      </c>
      <c r="BZ552" s="79" t="s">
        <v>1692</v>
      </c>
      <c r="CA552" s="79" t="s">
        <v>1736</v>
      </c>
      <c r="CB552" s="79" t="s">
        <v>1895</v>
      </c>
      <c r="CG552" s="79">
        <v>10</v>
      </c>
      <c r="CH552" s="79" t="s">
        <v>1895</v>
      </c>
      <c r="CI552" s="79" t="s">
        <v>1132</v>
      </c>
      <c r="CJ552" s="79" t="s">
        <v>1898</v>
      </c>
      <c r="CK552" s="79" t="s">
        <v>1928</v>
      </c>
      <c r="CL552" s="79" t="s">
        <v>19</v>
      </c>
      <c r="CM552" s="79">
        <v>42025</v>
      </c>
      <c r="CR552" s="79" t="s">
        <v>2060</v>
      </c>
      <c r="CT552" s="79" t="s">
        <v>19</v>
      </c>
    </row>
    <row r="553" spans="1:98" s="79" customFormat="1">
      <c r="A553" s="80" t="s">
        <v>1135</v>
      </c>
      <c r="B553" s="80" t="s">
        <v>83</v>
      </c>
      <c r="C553" s="81">
        <v>2</v>
      </c>
      <c r="D553" s="81">
        <v>3100</v>
      </c>
      <c r="E553" s="81">
        <v>2</v>
      </c>
      <c r="F553" s="81">
        <v>1.2999999999999999E-2</v>
      </c>
      <c r="G553" s="81" t="s">
        <v>89</v>
      </c>
      <c r="H553" s="81">
        <v>30</v>
      </c>
      <c r="I553" s="81" t="s">
        <v>85</v>
      </c>
      <c r="J553" s="81">
        <v>212.5</v>
      </c>
      <c r="K553" s="81" t="s">
        <v>385</v>
      </c>
      <c r="L553" s="81" t="s">
        <v>1132</v>
      </c>
      <c r="M553" s="81"/>
      <c r="N553" s="81"/>
      <c r="O553" s="23"/>
      <c r="P553" s="23"/>
      <c r="Q553" s="23"/>
      <c r="R553" s="23"/>
      <c r="S553" s="23" t="s">
        <v>64</v>
      </c>
      <c r="T553" s="23"/>
      <c r="U553" s="23" t="s">
        <v>87</v>
      </c>
      <c r="V553" s="23"/>
      <c r="W553" s="82">
        <v>0</v>
      </c>
      <c r="Y553" s="79" t="s">
        <v>161</v>
      </c>
      <c r="Z553" s="79" t="s">
        <v>53</v>
      </c>
      <c r="AA553" s="79" t="s">
        <v>51</v>
      </c>
      <c r="AB553" s="79" t="s">
        <v>1044</v>
      </c>
      <c r="AF553" s="79" t="s">
        <v>1437</v>
      </c>
      <c r="AG553" s="79" t="s">
        <v>58</v>
      </c>
      <c r="AI553" s="79" t="str">
        <f t="shared" si="90"/>
        <v>10_S235_SL10523531_p2_2st_SO_2050_</v>
      </c>
      <c r="AK553" s="79" t="s">
        <v>1921</v>
      </c>
      <c r="AM553" s="79" t="s">
        <v>1675</v>
      </c>
      <c r="AO553"/>
      <c r="AP553"/>
      <c r="AQ553"/>
      <c r="AR553"/>
      <c r="AS553"/>
      <c r="AT553"/>
      <c r="AU553"/>
      <c r="AV553"/>
      <c r="AW553"/>
      <c r="AX553"/>
      <c r="AY553"/>
      <c r="AZ553" s="83" t="s">
        <v>1646</v>
      </c>
      <c r="BA553" s="83" t="s">
        <v>1647</v>
      </c>
      <c r="BX553" s="79" t="s">
        <v>1691</v>
      </c>
      <c r="BY553" s="79">
        <v>10</v>
      </c>
      <c r="BZ553" s="79" t="s">
        <v>1692</v>
      </c>
      <c r="CA553" s="79" t="s">
        <v>1736</v>
      </c>
      <c r="CB553" s="79" t="s">
        <v>1895</v>
      </c>
      <c r="CG553" s="79">
        <v>10</v>
      </c>
      <c r="CH553" s="79" t="s">
        <v>1895</v>
      </c>
      <c r="CI553" s="79" t="s">
        <v>1132</v>
      </c>
      <c r="CJ553" s="79" t="s">
        <v>1901</v>
      </c>
      <c r="CK553" s="79" t="s">
        <v>1929</v>
      </c>
      <c r="CL553" s="79" t="s">
        <v>1921</v>
      </c>
      <c r="CM553" s="79">
        <v>42025</v>
      </c>
      <c r="CR553" s="79" t="s">
        <v>2061</v>
      </c>
      <c r="CT553" s="79" t="s">
        <v>1921</v>
      </c>
    </row>
    <row r="554" spans="1:98" hidden="1">
      <c r="A554" s="29" t="s">
        <v>1136</v>
      </c>
      <c r="B554" s="29" t="s">
        <v>79</v>
      </c>
      <c r="C554" s="30">
        <v>2</v>
      </c>
      <c r="D554" s="30" t="s">
        <v>1137</v>
      </c>
      <c r="E554" s="30">
        <v>1</v>
      </c>
      <c r="F554" s="30"/>
      <c r="G554" s="30" t="s">
        <v>52</v>
      </c>
      <c r="H554" s="30"/>
      <c r="I554" s="30"/>
      <c r="J554" s="30"/>
      <c r="K554" s="30" t="s">
        <v>1133</v>
      </c>
      <c r="L554" s="30" t="s">
        <v>1132</v>
      </c>
      <c r="M554" s="30">
        <v>3</v>
      </c>
      <c r="N554" s="30"/>
      <c r="O554" s="23"/>
      <c r="P554" s="23"/>
      <c r="Q554" s="23"/>
      <c r="R554" s="23"/>
      <c r="S554" s="23" t="s">
        <v>64</v>
      </c>
      <c r="T554" s="23"/>
      <c r="U554" s="23" t="s">
        <v>54</v>
      </c>
      <c r="V554" s="23"/>
      <c r="W554" s="31">
        <v>6.4989999999999997</v>
      </c>
      <c r="Y554" t="s">
        <v>40</v>
      </c>
      <c r="Z554" t="s">
        <v>53</v>
      </c>
      <c r="AA554" t="s">
        <v>51</v>
      </c>
      <c r="AB554" t="s">
        <v>1044</v>
      </c>
      <c r="AF554" t="s">
        <v>1437</v>
      </c>
      <c r="AG554" t="s">
        <v>58</v>
      </c>
      <c r="BX554" t="s">
        <v>1133</v>
      </c>
    </row>
    <row r="555" spans="1:98" s="79" customFormat="1">
      <c r="A555" s="80" t="s">
        <v>1138</v>
      </c>
      <c r="B555" s="80" t="s">
        <v>83</v>
      </c>
      <c r="C555" s="81">
        <v>1</v>
      </c>
      <c r="D555" s="81">
        <v>3100</v>
      </c>
      <c r="E555" s="81">
        <v>1</v>
      </c>
      <c r="F555" s="81">
        <v>9.4E-2</v>
      </c>
      <c r="G555" s="81" t="s">
        <v>89</v>
      </c>
      <c r="H555" s="81">
        <v>180</v>
      </c>
      <c r="I555" s="81" t="s">
        <v>85</v>
      </c>
      <c r="J555" s="81">
        <v>525</v>
      </c>
      <c r="K555" s="81" t="s">
        <v>385</v>
      </c>
      <c r="L555" s="81" t="s">
        <v>1132</v>
      </c>
      <c r="M555" s="81"/>
      <c r="N555" s="81"/>
      <c r="O555" s="23"/>
      <c r="P555" s="23"/>
      <c r="Q555" s="23"/>
      <c r="R555" s="23"/>
      <c r="S555" s="23" t="s">
        <v>64</v>
      </c>
      <c r="T555" s="23"/>
      <c r="U555" s="23" t="s">
        <v>87</v>
      </c>
      <c r="V555" s="23"/>
      <c r="W555" s="82">
        <v>0</v>
      </c>
      <c r="Y555" s="79" t="s">
        <v>161</v>
      </c>
      <c r="Z555" s="79" t="s">
        <v>53</v>
      </c>
      <c r="AA555" s="79" t="s">
        <v>51</v>
      </c>
      <c r="AB555" s="79" t="s">
        <v>1044</v>
      </c>
      <c r="AF555" s="79" t="s">
        <v>1437</v>
      </c>
      <c r="AG555" s="79" t="s">
        <v>58</v>
      </c>
      <c r="AI555" s="79" t="str">
        <f t="shared" ref="AI555:AI556" si="91">BY555&amp;"_"&amp;CB555&amp;"_"&amp;L555&amp;"_p"&amp;C555&amp;"_"&amp;E555&amp;"st_"&amp;AK555&amp;"_"&amp;RIGHT(AG555,4)&amp;"_"&amp;AL555</f>
        <v>10_S235_SL10523531_p1_1st_S_2050_1</v>
      </c>
      <c r="AK555" s="79" t="s">
        <v>19</v>
      </c>
      <c r="AL555" s="79">
        <v>1</v>
      </c>
      <c r="AM555" s="79" t="s">
        <v>1675</v>
      </c>
      <c r="AO555"/>
      <c r="AP555"/>
      <c r="AQ555"/>
      <c r="AR555"/>
      <c r="AS555"/>
      <c r="AT555"/>
      <c r="AU555"/>
      <c r="AV555"/>
      <c r="AW555"/>
      <c r="AX555"/>
      <c r="AY555"/>
      <c r="AZ555" s="83" t="s">
        <v>1644</v>
      </c>
      <c r="BA555" s="83" t="s">
        <v>1645</v>
      </c>
      <c r="BX555" s="79" t="s">
        <v>1691</v>
      </c>
      <c r="BY555" s="79">
        <v>10</v>
      </c>
      <c r="BZ555" s="79" t="s">
        <v>1692</v>
      </c>
      <c r="CA555" s="79" t="s">
        <v>1736</v>
      </c>
      <c r="CB555" s="79" t="s">
        <v>1895</v>
      </c>
      <c r="CG555" s="79">
        <v>10</v>
      </c>
      <c r="CH555" s="79" t="s">
        <v>1895</v>
      </c>
      <c r="CI555" s="79" t="s">
        <v>1132</v>
      </c>
      <c r="CJ555" s="79" t="s">
        <v>1898</v>
      </c>
      <c r="CK555" s="79" t="s">
        <v>1928</v>
      </c>
      <c r="CL555" s="79" t="s">
        <v>19</v>
      </c>
      <c r="CM555" s="79">
        <v>42025</v>
      </c>
      <c r="CR555" s="79" t="s">
        <v>2060</v>
      </c>
      <c r="CT555" s="79" t="s">
        <v>19</v>
      </c>
    </row>
    <row r="556" spans="1:98" s="79" customFormat="1">
      <c r="A556" s="80" t="s">
        <v>1139</v>
      </c>
      <c r="B556" s="80" t="s">
        <v>83</v>
      </c>
      <c r="C556" s="81">
        <v>2</v>
      </c>
      <c r="D556" s="81">
        <v>3100</v>
      </c>
      <c r="E556" s="81">
        <v>2</v>
      </c>
      <c r="F556" s="81">
        <v>1.2999999999999999E-2</v>
      </c>
      <c r="G556" s="81" t="s">
        <v>89</v>
      </c>
      <c r="H556" s="81">
        <v>30</v>
      </c>
      <c r="I556" s="81" t="s">
        <v>85</v>
      </c>
      <c r="J556" s="81">
        <v>212.5</v>
      </c>
      <c r="K556" s="81" t="s">
        <v>385</v>
      </c>
      <c r="L556" s="81" t="s">
        <v>1132</v>
      </c>
      <c r="M556" s="81"/>
      <c r="N556" s="81"/>
      <c r="O556" s="23"/>
      <c r="P556" s="23"/>
      <c r="Q556" s="23"/>
      <c r="R556" s="23"/>
      <c r="S556" s="23" t="s">
        <v>64</v>
      </c>
      <c r="T556" s="23"/>
      <c r="U556" s="23" t="s">
        <v>87</v>
      </c>
      <c r="V556" s="23"/>
      <c r="W556" s="82">
        <v>0</v>
      </c>
      <c r="Y556" s="79" t="s">
        <v>161</v>
      </c>
      <c r="Z556" s="79" t="s">
        <v>53</v>
      </c>
      <c r="AA556" s="79" t="s">
        <v>51</v>
      </c>
      <c r="AB556" s="79" t="s">
        <v>1044</v>
      </c>
      <c r="AF556" s="79" t="s">
        <v>1437</v>
      </c>
      <c r="AG556" s="79" t="s">
        <v>58</v>
      </c>
      <c r="AI556" s="79" t="str">
        <f t="shared" si="91"/>
        <v>10_S235_SL10523531_p2_2st_SO_2050_1</v>
      </c>
      <c r="AK556" s="79" t="s">
        <v>1921</v>
      </c>
      <c r="AL556" s="79">
        <v>1</v>
      </c>
      <c r="AM556" s="79" t="s">
        <v>1675</v>
      </c>
      <c r="AO556"/>
      <c r="AP556"/>
      <c r="AQ556"/>
      <c r="AR556"/>
      <c r="AS556"/>
      <c r="AT556"/>
      <c r="AU556"/>
      <c r="AV556"/>
      <c r="AW556"/>
      <c r="AX556"/>
      <c r="AY556"/>
      <c r="AZ556" s="83" t="s">
        <v>1646</v>
      </c>
      <c r="BA556" s="83" t="s">
        <v>1647</v>
      </c>
      <c r="BX556" s="79" t="s">
        <v>1691</v>
      </c>
      <c r="BY556" s="79">
        <v>10</v>
      </c>
      <c r="BZ556" s="79" t="s">
        <v>1692</v>
      </c>
      <c r="CA556" s="79" t="s">
        <v>1736</v>
      </c>
      <c r="CB556" s="79" t="s">
        <v>1895</v>
      </c>
      <c r="CG556" s="79">
        <v>10</v>
      </c>
      <c r="CH556" s="79" t="s">
        <v>1895</v>
      </c>
      <c r="CI556" s="79" t="s">
        <v>1132</v>
      </c>
      <c r="CJ556" s="79" t="s">
        <v>1901</v>
      </c>
      <c r="CK556" s="79" t="s">
        <v>1929</v>
      </c>
      <c r="CL556" s="79" t="s">
        <v>1921</v>
      </c>
      <c r="CM556" s="79">
        <v>42025</v>
      </c>
      <c r="CR556" s="79" t="s">
        <v>2061</v>
      </c>
      <c r="CT556" s="79" t="s">
        <v>1921</v>
      </c>
    </row>
    <row r="557" spans="1:98" hidden="1">
      <c r="A557" s="32" t="s">
        <v>1140</v>
      </c>
      <c r="B557" s="32" t="s">
        <v>79</v>
      </c>
      <c r="C557" s="23">
        <v>101</v>
      </c>
      <c r="D557" s="23">
        <v>25359500</v>
      </c>
      <c r="E557" s="23">
        <v>16</v>
      </c>
      <c r="F557" s="23"/>
      <c r="G557" s="23" t="s">
        <v>52</v>
      </c>
      <c r="H557" s="23" t="s">
        <v>283</v>
      </c>
      <c r="I557" s="23"/>
      <c r="J557" s="23"/>
      <c r="K557" s="23" t="s">
        <v>284</v>
      </c>
      <c r="L557" s="23" t="s">
        <v>1132</v>
      </c>
      <c r="M557" s="23"/>
      <c r="N557" s="23"/>
      <c r="O557" s="23"/>
      <c r="P557" s="23"/>
      <c r="Q557" s="23"/>
      <c r="R557" s="23"/>
      <c r="S557" s="23" t="s">
        <v>64</v>
      </c>
      <c r="T557" s="23"/>
      <c r="U557" s="23" t="s">
        <v>17</v>
      </c>
      <c r="V557" s="23"/>
      <c r="W557" s="33">
        <v>4.8000000000000001E-2</v>
      </c>
      <c r="Y557" t="s">
        <v>124</v>
      </c>
      <c r="Z557" t="s">
        <v>53</v>
      </c>
      <c r="AA557" t="s">
        <v>51</v>
      </c>
      <c r="AB557" t="s">
        <v>1044</v>
      </c>
      <c r="AF557" t="s">
        <v>1437</v>
      </c>
      <c r="AG557" t="s">
        <v>58</v>
      </c>
      <c r="BX557" t="s">
        <v>1713</v>
      </c>
      <c r="BY557" t="s">
        <v>283</v>
      </c>
      <c r="BZ557" t="s">
        <v>1714</v>
      </c>
      <c r="CA557" s="76">
        <v>46242</v>
      </c>
      <c r="CB557" t="s">
        <v>1715</v>
      </c>
      <c r="CC557" t="s">
        <v>1716</v>
      </c>
    </row>
    <row r="558" spans="1:98" hidden="1">
      <c r="A558" s="32" t="s">
        <v>1141</v>
      </c>
      <c r="B558" s="32" t="s">
        <v>79</v>
      </c>
      <c r="C558" s="23">
        <v>102</v>
      </c>
      <c r="D558" s="23">
        <v>24707900</v>
      </c>
      <c r="E558" s="23">
        <v>16</v>
      </c>
      <c r="F558" s="23"/>
      <c r="G558" s="23" t="s">
        <v>52</v>
      </c>
      <c r="H558" s="23" t="s">
        <v>275</v>
      </c>
      <c r="I558" s="23"/>
      <c r="J558" s="23"/>
      <c r="K558" s="23" t="s">
        <v>276</v>
      </c>
      <c r="L558" s="23" t="s">
        <v>1132</v>
      </c>
      <c r="M558" s="23"/>
      <c r="N558" s="23"/>
      <c r="O558" s="23"/>
      <c r="P558" s="23"/>
      <c r="Q558" s="23"/>
      <c r="R558" s="23"/>
      <c r="S558" s="23" t="s">
        <v>64</v>
      </c>
      <c r="T558" s="23"/>
      <c r="U558" s="23" t="s">
        <v>17</v>
      </c>
      <c r="V558" s="23"/>
      <c r="W558" s="33">
        <v>1.7000000000000001E-2</v>
      </c>
      <c r="Y558" t="s">
        <v>124</v>
      </c>
      <c r="Z558" t="s">
        <v>53</v>
      </c>
      <c r="AA558" t="s">
        <v>51</v>
      </c>
      <c r="AB558" t="s">
        <v>1044</v>
      </c>
      <c r="AF558" t="s">
        <v>1437</v>
      </c>
      <c r="AG558" t="s">
        <v>58</v>
      </c>
      <c r="BX558" t="s">
        <v>1717</v>
      </c>
      <c r="BY558" t="s">
        <v>275</v>
      </c>
      <c r="BZ558" t="s">
        <v>1718</v>
      </c>
      <c r="CA558">
        <v>8</v>
      </c>
      <c r="CB558" t="s">
        <v>1715</v>
      </c>
      <c r="CC558" t="s">
        <v>1716</v>
      </c>
    </row>
    <row r="559" spans="1:98" hidden="1">
      <c r="A559" s="32" t="s">
        <v>1142</v>
      </c>
      <c r="B559" s="32" t="s">
        <v>79</v>
      </c>
      <c r="C559" s="23">
        <v>103</v>
      </c>
      <c r="D559" s="23">
        <v>24484200</v>
      </c>
      <c r="E559" s="23">
        <v>32</v>
      </c>
      <c r="F559" s="23"/>
      <c r="G559" s="23" t="s">
        <v>52</v>
      </c>
      <c r="H559" s="23">
        <v>13</v>
      </c>
      <c r="I559" s="23"/>
      <c r="J559" s="23"/>
      <c r="K559" s="23" t="s">
        <v>278</v>
      </c>
      <c r="L559" s="23" t="s">
        <v>1132</v>
      </c>
      <c r="M559" s="23"/>
      <c r="N559" s="23"/>
      <c r="O559" s="23"/>
      <c r="P559" s="23"/>
      <c r="Q559" s="23"/>
      <c r="R559" s="23"/>
      <c r="S559" s="23" t="s">
        <v>64</v>
      </c>
      <c r="T559" s="23"/>
      <c r="U559" s="23" t="s">
        <v>17</v>
      </c>
      <c r="V559" s="23"/>
      <c r="W559" s="33">
        <v>0.01</v>
      </c>
      <c r="Y559" t="s">
        <v>124</v>
      </c>
      <c r="Z559" t="s">
        <v>53</v>
      </c>
      <c r="AA559" t="s">
        <v>51</v>
      </c>
      <c r="AB559" t="s">
        <v>1044</v>
      </c>
      <c r="AF559" t="s">
        <v>1437</v>
      </c>
      <c r="AG559" t="s">
        <v>58</v>
      </c>
      <c r="BX559" t="s">
        <v>1719</v>
      </c>
      <c r="BY559">
        <v>13</v>
      </c>
      <c r="BZ559" t="s">
        <v>763</v>
      </c>
      <c r="CA559" t="s">
        <v>1720</v>
      </c>
      <c r="CB559" t="s">
        <v>1721</v>
      </c>
    </row>
    <row r="560" spans="1:98" hidden="1">
      <c r="A560" s="32" t="s">
        <v>1143</v>
      </c>
      <c r="B560" s="32" t="s">
        <v>79</v>
      </c>
      <c r="C560" s="23">
        <v>104</v>
      </c>
      <c r="D560" s="23">
        <v>2521900</v>
      </c>
      <c r="E560" s="23">
        <v>2</v>
      </c>
      <c r="F560" s="23"/>
      <c r="G560" s="23" t="s">
        <v>52</v>
      </c>
      <c r="H560" s="23" t="s">
        <v>1144</v>
      </c>
      <c r="I560" s="23"/>
      <c r="J560" s="23"/>
      <c r="K560" s="23" t="s">
        <v>1145</v>
      </c>
      <c r="L560" s="23" t="s">
        <v>1132</v>
      </c>
      <c r="M560" s="23"/>
      <c r="N560" s="23"/>
      <c r="O560" s="23"/>
      <c r="P560" s="23"/>
      <c r="Q560" s="23"/>
      <c r="R560" s="23"/>
      <c r="S560" s="23" t="s">
        <v>64</v>
      </c>
      <c r="T560" s="23"/>
      <c r="U560" s="23" t="s">
        <v>17</v>
      </c>
      <c r="V560" s="23"/>
      <c r="W560" s="33">
        <v>0.18</v>
      </c>
      <c r="Y560" t="s">
        <v>124</v>
      </c>
      <c r="Z560" t="s">
        <v>53</v>
      </c>
      <c r="AA560" t="s">
        <v>51</v>
      </c>
      <c r="AB560" t="s">
        <v>1044</v>
      </c>
      <c r="AF560" t="s">
        <v>1437</v>
      </c>
      <c r="AG560" t="s">
        <v>58</v>
      </c>
      <c r="BX560" t="s">
        <v>1713</v>
      </c>
      <c r="BY560" t="s">
        <v>1144</v>
      </c>
      <c r="BZ560" t="s">
        <v>1714</v>
      </c>
      <c r="CA560" s="76">
        <v>46242</v>
      </c>
      <c r="CB560" t="s">
        <v>1715</v>
      </c>
      <c r="CC560" t="s">
        <v>1716</v>
      </c>
    </row>
    <row r="561" spans="1:98" hidden="1">
      <c r="A561" s="32" t="s">
        <v>1146</v>
      </c>
      <c r="B561" s="32" t="s">
        <v>79</v>
      </c>
      <c r="C561" s="23">
        <v>105</v>
      </c>
      <c r="D561" s="23">
        <v>24723900</v>
      </c>
      <c r="E561" s="23">
        <v>2</v>
      </c>
      <c r="F561" s="23"/>
      <c r="G561" s="23" t="s">
        <v>52</v>
      </c>
      <c r="H561" s="23" t="s">
        <v>126</v>
      </c>
      <c r="I561" s="23"/>
      <c r="J561" s="23"/>
      <c r="K561" s="23" t="s">
        <v>127</v>
      </c>
      <c r="L561" s="23" t="s">
        <v>1132</v>
      </c>
      <c r="M561" s="23"/>
      <c r="N561" s="23"/>
      <c r="O561" s="23"/>
      <c r="P561" s="23"/>
      <c r="Q561" s="23"/>
      <c r="R561" s="23"/>
      <c r="S561" s="23" t="s">
        <v>64</v>
      </c>
      <c r="T561" s="23"/>
      <c r="U561" s="23" t="s">
        <v>17</v>
      </c>
      <c r="V561" s="23"/>
      <c r="W561" s="33">
        <v>0.1</v>
      </c>
      <c r="Y561" t="s">
        <v>124</v>
      </c>
      <c r="Z561" t="s">
        <v>53</v>
      </c>
      <c r="AA561" t="s">
        <v>51</v>
      </c>
      <c r="AB561" t="s">
        <v>1044</v>
      </c>
      <c r="AF561" t="s">
        <v>1437</v>
      </c>
      <c r="AG561" t="s">
        <v>58</v>
      </c>
      <c r="BX561" t="s">
        <v>1717</v>
      </c>
      <c r="BY561" t="s">
        <v>126</v>
      </c>
      <c r="BZ561" t="s">
        <v>1718</v>
      </c>
      <c r="CA561">
        <v>8</v>
      </c>
      <c r="CB561" t="s">
        <v>1715</v>
      </c>
      <c r="CC561" t="s">
        <v>1716</v>
      </c>
    </row>
    <row r="562" spans="1:98" hidden="1">
      <c r="A562" s="32" t="s">
        <v>1147</v>
      </c>
      <c r="B562" s="32" t="s">
        <v>79</v>
      </c>
      <c r="C562" s="23">
        <v>106</v>
      </c>
      <c r="D562" s="23">
        <v>24712900</v>
      </c>
      <c r="E562" s="23">
        <v>4</v>
      </c>
      <c r="F562" s="23"/>
      <c r="G562" s="23" t="s">
        <v>52</v>
      </c>
      <c r="H562" s="23">
        <v>21</v>
      </c>
      <c r="I562" s="23"/>
      <c r="J562" s="23"/>
      <c r="K562" s="23" t="s">
        <v>129</v>
      </c>
      <c r="L562" s="23" t="s">
        <v>1132</v>
      </c>
      <c r="M562" s="23"/>
      <c r="N562" s="23"/>
      <c r="O562" s="23"/>
      <c r="P562" s="23"/>
      <c r="Q562" s="23"/>
      <c r="R562" s="23"/>
      <c r="S562" s="23" t="s">
        <v>64</v>
      </c>
      <c r="T562" s="23"/>
      <c r="U562" s="23" t="s">
        <v>17</v>
      </c>
      <c r="V562" s="23"/>
      <c r="W562" s="33">
        <v>1.7000000000000001E-2</v>
      </c>
      <c r="Y562" t="s">
        <v>124</v>
      </c>
      <c r="Z562" t="s">
        <v>53</v>
      </c>
      <c r="AA562" t="s">
        <v>51</v>
      </c>
      <c r="AB562" t="s">
        <v>1044</v>
      </c>
      <c r="AF562" t="s">
        <v>1437</v>
      </c>
      <c r="AG562" t="s">
        <v>58</v>
      </c>
      <c r="BX562" t="s">
        <v>1719</v>
      </c>
      <c r="BY562">
        <v>21</v>
      </c>
      <c r="BZ562" t="s">
        <v>763</v>
      </c>
      <c r="CA562" t="s">
        <v>1720</v>
      </c>
      <c r="CB562" t="s">
        <v>1721</v>
      </c>
    </row>
    <row r="563" spans="1:98" hidden="1">
      <c r="A563" s="29" t="s">
        <v>1148</v>
      </c>
      <c r="B563" s="29" t="s">
        <v>74</v>
      </c>
      <c r="C563" s="30">
        <v>6</v>
      </c>
      <c r="D563" s="30" t="s">
        <v>1149</v>
      </c>
      <c r="E563" s="30">
        <v>2</v>
      </c>
      <c r="F563" s="30"/>
      <c r="G563" s="30" t="s">
        <v>52</v>
      </c>
      <c r="H563" s="30"/>
      <c r="I563" s="30"/>
      <c r="J563" s="30"/>
      <c r="K563" s="30" t="s">
        <v>1150</v>
      </c>
      <c r="L563" s="30" t="s">
        <v>1149</v>
      </c>
      <c r="M563" s="30">
        <v>2</v>
      </c>
      <c r="N563" s="30"/>
      <c r="O563" s="23"/>
      <c r="P563" s="23"/>
      <c r="Q563" s="23"/>
      <c r="R563" s="23"/>
      <c r="S563" s="23" t="s">
        <v>64</v>
      </c>
      <c r="T563" s="23"/>
      <c r="U563" s="23" t="s">
        <v>54</v>
      </c>
      <c r="V563" s="23"/>
      <c r="W563" s="31">
        <v>1</v>
      </c>
      <c r="Y563" t="s">
        <v>40</v>
      </c>
      <c r="Z563" t="s">
        <v>53</v>
      </c>
      <c r="AA563" t="s">
        <v>51</v>
      </c>
      <c r="AB563" t="s">
        <v>1044</v>
      </c>
      <c r="AF563" t="s">
        <v>1437</v>
      </c>
      <c r="AG563" t="s">
        <v>58</v>
      </c>
      <c r="BX563" t="s">
        <v>1150</v>
      </c>
    </row>
    <row r="564" spans="1:98" s="79" customFormat="1">
      <c r="A564" s="80" t="s">
        <v>1151</v>
      </c>
      <c r="B564" s="80" t="s">
        <v>79</v>
      </c>
      <c r="C564" s="81">
        <v>1</v>
      </c>
      <c r="D564" s="81">
        <v>155000</v>
      </c>
      <c r="E564" s="81">
        <v>2</v>
      </c>
      <c r="F564" s="81">
        <v>0.124</v>
      </c>
      <c r="G564" s="81" t="s">
        <v>89</v>
      </c>
      <c r="H564" s="81">
        <v>389</v>
      </c>
      <c r="I564" s="81" t="s">
        <v>85</v>
      </c>
      <c r="J564" s="81">
        <v>159</v>
      </c>
      <c r="K564" s="81" t="s">
        <v>209</v>
      </c>
      <c r="L564" s="81" t="s">
        <v>1149</v>
      </c>
      <c r="M564" s="81"/>
      <c r="N564" s="81"/>
      <c r="O564" s="23"/>
      <c r="P564" s="23"/>
      <c r="Q564" s="23"/>
      <c r="R564" s="23"/>
      <c r="S564" s="23" t="s">
        <v>64</v>
      </c>
      <c r="T564" s="23"/>
      <c r="U564" s="23" t="s">
        <v>87</v>
      </c>
      <c r="V564" s="23"/>
      <c r="W564" s="82">
        <v>0</v>
      </c>
      <c r="Y564" s="79" t="s">
        <v>161</v>
      </c>
      <c r="Z564" s="79" t="s">
        <v>53</v>
      </c>
      <c r="AA564" s="79" t="s">
        <v>51</v>
      </c>
      <c r="AB564" s="79" t="s">
        <v>1044</v>
      </c>
      <c r="AC564" s="79" t="s">
        <v>1428</v>
      </c>
      <c r="AF564" s="79" t="s">
        <v>1437</v>
      </c>
      <c r="AG564" s="79" t="s">
        <v>58</v>
      </c>
      <c r="AI564" s="79" t="str">
        <f>BY564&amp;"_"&amp;CB564&amp;"_"&amp;L564&amp;"_p"&amp;C564&amp;"_"&amp;E564&amp;"st_"&amp;AK564&amp;"_"&amp;RIGHT(AG564,4)&amp;"_"&amp;AL564</f>
        <v>3_S235_SL40091010_p1_2st_G_2050_</v>
      </c>
      <c r="AK564" s="79" t="s">
        <v>1900</v>
      </c>
      <c r="AM564" s="79" t="s">
        <v>1675</v>
      </c>
      <c r="AO564"/>
      <c r="AP564"/>
      <c r="AQ564"/>
      <c r="AR564"/>
      <c r="AS564"/>
      <c r="AT564"/>
      <c r="AU564"/>
      <c r="AV564"/>
      <c r="AW564"/>
      <c r="AX564"/>
      <c r="AY564"/>
      <c r="AZ564" s="83" t="s">
        <v>1648</v>
      </c>
      <c r="BA564" s="83" t="s">
        <v>1649</v>
      </c>
      <c r="BX564" s="79" t="s">
        <v>1691</v>
      </c>
      <c r="BY564" s="79">
        <v>3</v>
      </c>
      <c r="BZ564" s="79" t="s">
        <v>1692</v>
      </c>
      <c r="CA564" s="79" t="s">
        <v>1736</v>
      </c>
      <c r="CB564" s="79" t="s">
        <v>1895</v>
      </c>
      <c r="CG564" s="79">
        <v>3</v>
      </c>
      <c r="CH564" s="79" t="s">
        <v>1895</v>
      </c>
      <c r="CI564" s="79" t="s">
        <v>1149</v>
      </c>
      <c r="CJ564" s="79" t="s">
        <v>1898</v>
      </c>
      <c r="CK564" s="79" t="s">
        <v>1899</v>
      </c>
      <c r="CL564" s="79" t="s">
        <v>1900</v>
      </c>
      <c r="CM564" s="79">
        <v>3902</v>
      </c>
      <c r="CN564" s="79">
        <v>3</v>
      </c>
      <c r="CR564" s="79" t="s">
        <v>2062</v>
      </c>
      <c r="CT564" s="79" t="s">
        <v>1900</v>
      </c>
    </row>
    <row r="565" spans="1:98" hidden="1">
      <c r="A565" s="32" t="s">
        <v>1152</v>
      </c>
      <c r="B565" s="32" t="s">
        <v>79</v>
      </c>
      <c r="C565" s="23">
        <v>101</v>
      </c>
      <c r="D565" s="23">
        <v>24378900</v>
      </c>
      <c r="E565" s="23">
        <v>4</v>
      </c>
      <c r="F565" s="23"/>
      <c r="G565" s="23" t="s">
        <v>52</v>
      </c>
      <c r="H565" s="23" t="s">
        <v>1153</v>
      </c>
      <c r="I565" s="23"/>
      <c r="J565" s="23"/>
      <c r="K565" s="23" t="s">
        <v>1154</v>
      </c>
      <c r="L565" s="23" t="s">
        <v>1149</v>
      </c>
      <c r="M565" s="23"/>
      <c r="N565" s="23"/>
      <c r="O565" s="23"/>
      <c r="P565" s="23"/>
      <c r="Q565" s="23"/>
      <c r="R565" s="23"/>
      <c r="S565" s="23" t="s">
        <v>64</v>
      </c>
      <c r="T565" s="23"/>
      <c r="U565" s="23" t="s">
        <v>17</v>
      </c>
      <c r="V565" s="23"/>
      <c r="W565" s="33">
        <v>2.1000000000000001E-2</v>
      </c>
      <c r="Y565" t="s">
        <v>124</v>
      </c>
      <c r="Z565" t="s">
        <v>53</v>
      </c>
      <c r="AA565" t="s">
        <v>51</v>
      </c>
      <c r="AB565" t="s">
        <v>1044</v>
      </c>
      <c r="AF565" t="s">
        <v>1437</v>
      </c>
      <c r="AG565" t="s">
        <v>58</v>
      </c>
      <c r="BX565" t="s">
        <v>1713</v>
      </c>
      <c r="BY565" t="s">
        <v>1153</v>
      </c>
      <c r="BZ565" t="s">
        <v>1714</v>
      </c>
      <c r="CA565" s="76">
        <v>46242</v>
      </c>
      <c r="CB565" t="s">
        <v>1740</v>
      </c>
    </row>
    <row r="566" spans="1:98" hidden="1">
      <c r="A566" s="32" t="s">
        <v>1155</v>
      </c>
      <c r="B566" s="32" t="s">
        <v>79</v>
      </c>
      <c r="C566" s="23">
        <v>102</v>
      </c>
      <c r="D566" s="23">
        <v>25126100</v>
      </c>
      <c r="E566" s="23">
        <v>4</v>
      </c>
      <c r="F566" s="23"/>
      <c r="G566" s="23" t="s">
        <v>52</v>
      </c>
      <c r="H566" s="23" t="s">
        <v>229</v>
      </c>
      <c r="I566" s="23"/>
      <c r="J566" s="23"/>
      <c r="K566" s="23" t="s">
        <v>1156</v>
      </c>
      <c r="L566" s="23" t="s">
        <v>1149</v>
      </c>
      <c r="M566" s="23"/>
      <c r="N566" s="23"/>
      <c r="O566" s="23"/>
      <c r="P566" s="23"/>
      <c r="Q566" s="23"/>
      <c r="R566" s="23"/>
      <c r="S566" s="23" t="s">
        <v>64</v>
      </c>
      <c r="T566" s="23"/>
      <c r="U566" s="23" t="s">
        <v>17</v>
      </c>
      <c r="V566" s="23"/>
      <c r="W566" s="33">
        <v>7.4999999999999997E-2</v>
      </c>
      <c r="Y566" t="s">
        <v>124</v>
      </c>
      <c r="Z566" t="s">
        <v>53</v>
      </c>
      <c r="AA566" t="s">
        <v>51</v>
      </c>
      <c r="AB566" t="s">
        <v>1044</v>
      </c>
      <c r="AF566" t="s">
        <v>1437</v>
      </c>
      <c r="AG566" t="s">
        <v>58</v>
      </c>
      <c r="BX566" t="s">
        <v>1717</v>
      </c>
      <c r="BY566" t="s">
        <v>229</v>
      </c>
      <c r="BZ566" t="s">
        <v>1718</v>
      </c>
      <c r="CA566">
        <v>8</v>
      </c>
      <c r="CB566" t="s">
        <v>1740</v>
      </c>
      <c r="CC566" t="s">
        <v>1824</v>
      </c>
    </row>
    <row r="567" spans="1:98" hidden="1">
      <c r="A567" s="32" t="s">
        <v>1157</v>
      </c>
      <c r="B567" s="32" t="s">
        <v>79</v>
      </c>
      <c r="C567" s="23">
        <v>103</v>
      </c>
      <c r="D567" s="23">
        <v>24389600</v>
      </c>
      <c r="E567" s="23">
        <v>4</v>
      </c>
      <c r="F567" s="23"/>
      <c r="G567" s="23" t="s">
        <v>52</v>
      </c>
      <c r="H567" s="23">
        <v>10.5</v>
      </c>
      <c r="I567" s="23"/>
      <c r="J567" s="23"/>
      <c r="K567" s="23" t="s">
        <v>232</v>
      </c>
      <c r="L567" s="23" t="s">
        <v>1149</v>
      </c>
      <c r="M567" s="23"/>
      <c r="N567" s="23"/>
      <c r="O567" s="23"/>
      <c r="P567" s="23"/>
      <c r="Q567" s="23"/>
      <c r="R567" s="23"/>
      <c r="S567" s="23" t="s">
        <v>64</v>
      </c>
      <c r="T567" s="23"/>
      <c r="U567" s="23" t="s">
        <v>17</v>
      </c>
      <c r="V567" s="23"/>
      <c r="W567" s="33">
        <v>4.0000000000000001E-3</v>
      </c>
      <c r="Y567" t="s">
        <v>124</v>
      </c>
      <c r="Z567" t="s">
        <v>53</v>
      </c>
      <c r="AA567" t="s">
        <v>51</v>
      </c>
      <c r="AB567" t="s">
        <v>1044</v>
      </c>
      <c r="AF567" t="s">
        <v>1437</v>
      </c>
      <c r="AG567" t="s">
        <v>58</v>
      </c>
      <c r="BX567" t="s">
        <v>1719</v>
      </c>
      <c r="BY567">
        <v>10.5</v>
      </c>
      <c r="BZ567" t="s">
        <v>763</v>
      </c>
      <c r="CA567" t="s">
        <v>1720</v>
      </c>
      <c r="CB567" t="s">
        <v>1721</v>
      </c>
    </row>
    <row r="568" spans="1:98" hidden="1">
      <c r="A568" s="32" t="s">
        <v>1158</v>
      </c>
      <c r="B568" s="32" t="s">
        <v>79</v>
      </c>
      <c r="C568" s="23">
        <v>104</v>
      </c>
      <c r="D568" s="23">
        <v>26987400</v>
      </c>
      <c r="E568" s="23">
        <v>8</v>
      </c>
      <c r="F568" s="23"/>
      <c r="G568" s="23" t="s">
        <v>52</v>
      </c>
      <c r="H568" s="23" t="s">
        <v>1159</v>
      </c>
      <c r="I568" s="23"/>
      <c r="J568" s="23"/>
      <c r="K568" s="23" t="s">
        <v>1160</v>
      </c>
      <c r="L568" s="23" t="s">
        <v>1149</v>
      </c>
      <c r="M568" s="23"/>
      <c r="N568" s="23"/>
      <c r="O568" s="23"/>
      <c r="P568" s="23"/>
      <c r="Q568" s="23"/>
      <c r="R568" s="23"/>
      <c r="S568" s="23" t="s">
        <v>64</v>
      </c>
      <c r="T568" s="23"/>
      <c r="U568" s="23" t="s">
        <v>17</v>
      </c>
      <c r="V568" s="23"/>
      <c r="W568" s="33">
        <v>0</v>
      </c>
      <c r="Y568" t="s">
        <v>124</v>
      </c>
      <c r="Z568" t="s">
        <v>53</v>
      </c>
      <c r="AA568" t="s">
        <v>51</v>
      </c>
      <c r="AB568" t="s">
        <v>1044</v>
      </c>
      <c r="AF568" t="s">
        <v>1437</v>
      </c>
      <c r="AG568" t="s">
        <v>58</v>
      </c>
      <c r="BX568" t="s">
        <v>1713</v>
      </c>
      <c r="BY568" t="s">
        <v>1159</v>
      </c>
      <c r="BZ568" t="s">
        <v>1714</v>
      </c>
      <c r="CA568" s="76">
        <v>46242</v>
      </c>
      <c r="CB568" t="s">
        <v>1740</v>
      </c>
    </row>
    <row r="569" spans="1:98" hidden="1">
      <c r="A569" s="32" t="s">
        <v>1161</v>
      </c>
      <c r="B569" s="32" t="s">
        <v>79</v>
      </c>
      <c r="C569" s="23">
        <v>105</v>
      </c>
      <c r="D569" s="23">
        <v>24398200</v>
      </c>
      <c r="E569" s="23">
        <v>8</v>
      </c>
      <c r="F569" s="23"/>
      <c r="G569" s="23" t="s">
        <v>52</v>
      </c>
      <c r="H569" s="23" t="s">
        <v>1037</v>
      </c>
      <c r="I569" s="23"/>
      <c r="J569" s="23"/>
      <c r="K569" s="23" t="s">
        <v>1038</v>
      </c>
      <c r="L569" s="23" t="s">
        <v>1149</v>
      </c>
      <c r="M569" s="23"/>
      <c r="N569" s="23"/>
      <c r="O569" s="23"/>
      <c r="P569" s="23"/>
      <c r="Q569" s="23"/>
      <c r="R569" s="23"/>
      <c r="S569" s="23" t="s">
        <v>64</v>
      </c>
      <c r="T569" s="23"/>
      <c r="U569" s="23" t="s">
        <v>17</v>
      </c>
      <c r="V569" s="23"/>
      <c r="W569" s="33">
        <v>1E-3</v>
      </c>
      <c r="Y569" t="s">
        <v>124</v>
      </c>
      <c r="Z569" t="s">
        <v>53</v>
      </c>
      <c r="AA569" t="s">
        <v>51</v>
      </c>
      <c r="AB569" t="s">
        <v>1044</v>
      </c>
      <c r="AF569" t="s">
        <v>1437</v>
      </c>
      <c r="AG569" t="s">
        <v>58</v>
      </c>
      <c r="BX569" t="s">
        <v>1717</v>
      </c>
      <c r="BY569" t="s">
        <v>1037</v>
      </c>
      <c r="BZ569" t="s">
        <v>1718</v>
      </c>
      <c r="CA569">
        <v>8</v>
      </c>
      <c r="CB569" t="s">
        <v>1740</v>
      </c>
    </row>
    <row r="570" spans="1:98" hidden="1">
      <c r="A570" s="32" t="s">
        <v>1162</v>
      </c>
      <c r="B570" s="32" t="s">
        <v>79</v>
      </c>
      <c r="C570" s="23">
        <v>106</v>
      </c>
      <c r="D570" s="23">
        <v>24390100</v>
      </c>
      <c r="E570" s="23">
        <v>16</v>
      </c>
      <c r="F570" s="23"/>
      <c r="G570" s="23" t="s">
        <v>52</v>
      </c>
      <c r="H570" s="23">
        <v>5.3</v>
      </c>
      <c r="I570" s="23"/>
      <c r="J570" s="23"/>
      <c r="K570" s="23" t="s">
        <v>1163</v>
      </c>
      <c r="L570" s="23" t="s">
        <v>1149</v>
      </c>
      <c r="M570" s="23"/>
      <c r="N570" s="23"/>
      <c r="O570" s="23"/>
      <c r="P570" s="23"/>
      <c r="Q570" s="23"/>
      <c r="R570" s="23"/>
      <c r="S570" s="23" t="s">
        <v>64</v>
      </c>
      <c r="T570" s="23"/>
      <c r="U570" s="23" t="s">
        <v>17</v>
      </c>
      <c r="V570" s="23"/>
      <c r="W570" s="33">
        <v>2E-3</v>
      </c>
      <c r="Y570" t="s">
        <v>124</v>
      </c>
      <c r="Z570" t="s">
        <v>53</v>
      </c>
      <c r="AA570" t="s">
        <v>51</v>
      </c>
      <c r="AB570" t="s">
        <v>1044</v>
      </c>
      <c r="AF570" t="s">
        <v>1437</v>
      </c>
      <c r="AG570" t="s">
        <v>58</v>
      </c>
      <c r="BX570" t="s">
        <v>1719</v>
      </c>
      <c r="BY570">
        <v>5.3</v>
      </c>
      <c r="BZ570" t="s">
        <v>763</v>
      </c>
      <c r="CA570" t="s">
        <v>1720</v>
      </c>
      <c r="CB570" t="s">
        <v>1721</v>
      </c>
    </row>
    <row r="571" spans="1:98" hidden="1">
      <c r="A571" s="26" t="s">
        <v>1164</v>
      </c>
      <c r="B571" s="26" t="s">
        <v>62</v>
      </c>
      <c r="C571" s="27">
        <v>8</v>
      </c>
      <c r="D571" s="27" t="s">
        <v>1165</v>
      </c>
      <c r="E571" s="27">
        <v>1</v>
      </c>
      <c r="F571" s="27"/>
      <c r="G571" s="27" t="s">
        <v>52</v>
      </c>
      <c r="H571" s="27"/>
      <c r="I571" s="27"/>
      <c r="J571" s="27"/>
      <c r="K571" s="27" t="s">
        <v>1166</v>
      </c>
      <c r="L571" s="27" t="s">
        <v>1149</v>
      </c>
      <c r="M571" s="27"/>
      <c r="N571" s="27"/>
      <c r="O571" s="30"/>
      <c r="P571" s="30"/>
      <c r="Q571" s="30"/>
      <c r="R571" s="30"/>
      <c r="S571" s="30"/>
      <c r="T571" s="30"/>
      <c r="U571" s="30" t="s">
        <v>54</v>
      </c>
      <c r="V571" s="30"/>
      <c r="W571" s="28">
        <v>750.49900000000002</v>
      </c>
      <c r="Y571" t="s">
        <v>40</v>
      </c>
      <c r="Z571" t="s">
        <v>53</v>
      </c>
      <c r="AA571" t="s">
        <v>51</v>
      </c>
      <c r="AB571" t="s">
        <v>1167</v>
      </c>
      <c r="AG571" t="s">
        <v>58</v>
      </c>
      <c r="BX571" t="s">
        <v>1166</v>
      </c>
    </row>
    <row r="572" spans="1:98" hidden="1">
      <c r="A572" s="29" t="s">
        <v>1168</v>
      </c>
      <c r="B572" s="29" t="s">
        <v>74</v>
      </c>
      <c r="C572" s="30">
        <v>1</v>
      </c>
      <c r="D572" s="30" t="s">
        <v>1169</v>
      </c>
      <c r="E572" s="30">
        <v>1</v>
      </c>
      <c r="F572" s="30"/>
      <c r="G572" s="30" t="s">
        <v>52</v>
      </c>
      <c r="H572" s="30"/>
      <c r="I572" s="30"/>
      <c r="J572" s="30"/>
      <c r="K572" s="30" t="s">
        <v>1170</v>
      </c>
      <c r="L572" s="30" t="s">
        <v>1169</v>
      </c>
      <c r="M572" s="30">
        <v>2</v>
      </c>
      <c r="N572" s="30"/>
      <c r="O572" s="23"/>
      <c r="P572" s="23"/>
      <c r="Q572" s="23"/>
      <c r="R572" s="23"/>
      <c r="S572" s="23" t="s">
        <v>64</v>
      </c>
      <c r="T572" s="23"/>
      <c r="U572" s="23" t="s">
        <v>54</v>
      </c>
      <c r="V572" s="23"/>
      <c r="W572" s="31">
        <v>42.752000000000002</v>
      </c>
      <c r="Y572" t="s">
        <v>40</v>
      </c>
      <c r="Z572" t="s">
        <v>53</v>
      </c>
      <c r="AA572" t="s">
        <v>51</v>
      </c>
      <c r="AB572" t="s">
        <v>1167</v>
      </c>
      <c r="AF572" t="s">
        <v>1438</v>
      </c>
      <c r="AG572" t="s">
        <v>58</v>
      </c>
      <c r="BX572" t="s">
        <v>1170</v>
      </c>
    </row>
    <row r="573" spans="1:98" hidden="1">
      <c r="A573" s="32" t="s">
        <v>1171</v>
      </c>
      <c r="B573" s="32" t="s">
        <v>79</v>
      </c>
      <c r="C573" s="23">
        <v>1</v>
      </c>
      <c r="D573" s="23">
        <v>3912200</v>
      </c>
      <c r="E573" s="23">
        <v>2</v>
      </c>
      <c r="F573" s="23" t="s">
        <v>503</v>
      </c>
      <c r="G573" s="23" t="s">
        <v>85</v>
      </c>
      <c r="H573" s="23">
        <v>700</v>
      </c>
      <c r="I573" s="23" t="s">
        <v>85</v>
      </c>
      <c r="J573" s="23">
        <v>0</v>
      </c>
      <c r="K573" s="23" t="s">
        <v>1172</v>
      </c>
      <c r="L573" s="23" t="s">
        <v>1169</v>
      </c>
      <c r="M573" s="23"/>
      <c r="N573" s="23"/>
      <c r="O573" s="23"/>
      <c r="P573" s="23"/>
      <c r="Q573" s="23"/>
      <c r="R573" s="23"/>
      <c r="S573" s="23" t="s">
        <v>64</v>
      </c>
      <c r="T573" s="23"/>
      <c r="U573" s="23" t="s">
        <v>87</v>
      </c>
      <c r="V573" s="23"/>
      <c r="W573" s="33">
        <v>0</v>
      </c>
      <c r="Y573" t="s">
        <v>365</v>
      </c>
      <c r="Z573" t="s">
        <v>53</v>
      </c>
      <c r="AA573" t="s">
        <v>51</v>
      </c>
      <c r="AB573" t="s">
        <v>1167</v>
      </c>
      <c r="AF573" t="s">
        <v>1438</v>
      </c>
      <c r="AG573" t="s">
        <v>58</v>
      </c>
      <c r="BX573" t="s">
        <v>1790</v>
      </c>
      <c r="BY573" t="s">
        <v>1825</v>
      </c>
      <c r="BZ573" t="s">
        <v>1792</v>
      </c>
      <c r="CA573" t="s">
        <v>1737</v>
      </c>
    </row>
    <row r="574" spans="1:98" hidden="1">
      <c r="A574" s="32" t="s">
        <v>1173</v>
      </c>
      <c r="B574" s="32" t="s">
        <v>79</v>
      </c>
      <c r="C574" s="23">
        <v>2</v>
      </c>
      <c r="D574" s="23">
        <v>66000</v>
      </c>
      <c r="E574" s="23">
        <v>2</v>
      </c>
      <c r="F574" s="23" t="s">
        <v>1174</v>
      </c>
      <c r="G574" s="23" t="s">
        <v>85</v>
      </c>
      <c r="H574" s="23">
        <v>530</v>
      </c>
      <c r="I574" s="23" t="s">
        <v>85</v>
      </c>
      <c r="J574" s="23">
        <v>0</v>
      </c>
      <c r="K574" s="23" t="s">
        <v>1175</v>
      </c>
      <c r="L574" s="23" t="s">
        <v>1169</v>
      </c>
      <c r="M574" s="23"/>
      <c r="N574" s="23"/>
      <c r="O574" s="23"/>
      <c r="P574" s="23"/>
      <c r="Q574" s="23"/>
      <c r="R574" s="23"/>
      <c r="S574" s="23" t="s">
        <v>64</v>
      </c>
      <c r="T574" s="23"/>
      <c r="U574" s="23" t="s">
        <v>87</v>
      </c>
      <c r="V574" s="23"/>
      <c r="W574" s="33">
        <v>0</v>
      </c>
      <c r="Y574" t="s">
        <v>365</v>
      </c>
      <c r="Z574" t="s">
        <v>53</v>
      </c>
      <c r="AA574" t="s">
        <v>51</v>
      </c>
      <c r="AB574" t="s">
        <v>1167</v>
      </c>
      <c r="AF574" t="s">
        <v>1438</v>
      </c>
      <c r="AG574" t="s">
        <v>58</v>
      </c>
      <c r="BX574" t="s">
        <v>1785</v>
      </c>
      <c r="BY574" t="s">
        <v>1826</v>
      </c>
      <c r="BZ574" t="s">
        <v>1787</v>
      </c>
      <c r="CA574" t="s">
        <v>1737</v>
      </c>
    </row>
    <row r="575" spans="1:98" hidden="1">
      <c r="A575" s="32" t="s">
        <v>1176</v>
      </c>
      <c r="B575" s="32" t="s">
        <v>79</v>
      </c>
      <c r="C575" s="23">
        <v>3</v>
      </c>
      <c r="D575" s="23">
        <v>28491900</v>
      </c>
      <c r="E575" s="23">
        <v>1</v>
      </c>
      <c r="F575" s="23" t="s">
        <v>1177</v>
      </c>
      <c r="G575" s="23" t="s">
        <v>85</v>
      </c>
      <c r="H575" s="23" t="s">
        <v>1177</v>
      </c>
      <c r="I575" s="23" t="s">
        <v>85</v>
      </c>
      <c r="J575" s="23">
        <v>0</v>
      </c>
      <c r="K575" s="23" t="s">
        <v>1178</v>
      </c>
      <c r="L575" s="23" t="s">
        <v>1169</v>
      </c>
      <c r="M575" s="23"/>
      <c r="N575" s="23"/>
      <c r="O575" s="23"/>
      <c r="P575" s="23"/>
      <c r="Q575" s="23"/>
      <c r="R575" s="23"/>
      <c r="S575" s="23" t="s">
        <v>64</v>
      </c>
      <c r="T575" s="23"/>
      <c r="U575" s="23" t="s">
        <v>87</v>
      </c>
      <c r="V575" s="23"/>
      <c r="W575" s="33">
        <v>0</v>
      </c>
      <c r="Y575" t="s">
        <v>365</v>
      </c>
      <c r="Z575" t="s">
        <v>53</v>
      </c>
      <c r="AA575" t="s">
        <v>51</v>
      </c>
      <c r="AB575" t="s">
        <v>1167</v>
      </c>
      <c r="AF575" t="s">
        <v>1438</v>
      </c>
      <c r="AG575" t="s">
        <v>58</v>
      </c>
      <c r="BX575" t="s">
        <v>1827</v>
      </c>
      <c r="BY575" t="s">
        <v>1828</v>
      </c>
      <c r="BZ575" t="s">
        <v>1829</v>
      </c>
      <c r="CA575" t="s">
        <v>1736</v>
      </c>
      <c r="CB575" t="s">
        <v>1737</v>
      </c>
    </row>
    <row r="576" spans="1:98" s="79" customFormat="1">
      <c r="A576" s="80" t="s">
        <v>1179</v>
      </c>
      <c r="B576" s="80" t="s">
        <v>79</v>
      </c>
      <c r="C576" s="81">
        <v>4</v>
      </c>
      <c r="D576" s="81">
        <v>88500</v>
      </c>
      <c r="E576" s="81">
        <v>4</v>
      </c>
      <c r="F576" s="81">
        <v>0.372</v>
      </c>
      <c r="G576" s="81" t="s">
        <v>89</v>
      </c>
      <c r="H576" s="81">
        <v>305</v>
      </c>
      <c r="I576" s="81" t="s">
        <v>85</v>
      </c>
      <c r="J576" s="81">
        <v>305</v>
      </c>
      <c r="K576" s="81" t="s">
        <v>256</v>
      </c>
      <c r="L576" s="81" t="s">
        <v>1169</v>
      </c>
      <c r="M576" s="81"/>
      <c r="N576" s="81"/>
      <c r="O576" s="23"/>
      <c r="P576" s="23"/>
      <c r="Q576" s="23"/>
      <c r="R576" s="23"/>
      <c r="S576" s="23" t="s">
        <v>64</v>
      </c>
      <c r="T576" s="23"/>
      <c r="U576" s="23" t="s">
        <v>87</v>
      </c>
      <c r="V576" s="23"/>
      <c r="W576" s="82">
        <v>0</v>
      </c>
      <c r="Y576" s="79" t="s">
        <v>161</v>
      </c>
      <c r="Z576" s="79" t="s">
        <v>53</v>
      </c>
      <c r="AA576" s="79" t="s">
        <v>51</v>
      </c>
      <c r="AB576" s="79" t="s">
        <v>1167</v>
      </c>
      <c r="AF576" s="79" t="s">
        <v>1438</v>
      </c>
      <c r="AG576" s="79" t="s">
        <v>58</v>
      </c>
      <c r="AI576" s="79" t="str">
        <f>BY576&amp;"_"&amp;CB576&amp;"_"&amp;L576&amp;"_p"&amp;C576&amp;"_"&amp;E576&amp;"st_"&amp;AK576&amp;"_"&amp;RIGHT(AG576,4)&amp;"_"&amp;AL576</f>
        <v>4_S235_SL41082134_p4_4st_S_2050_</v>
      </c>
      <c r="AK576" s="79" t="s">
        <v>19</v>
      </c>
      <c r="AM576" s="79" t="s">
        <v>1675</v>
      </c>
      <c r="AO576"/>
      <c r="AP576"/>
      <c r="AQ576"/>
      <c r="AR576"/>
      <c r="AS576"/>
      <c r="AT576"/>
      <c r="AU576"/>
      <c r="AV576"/>
      <c r="AW576"/>
      <c r="AX576"/>
      <c r="AY576"/>
      <c r="AZ576" s="83" t="s">
        <v>1650</v>
      </c>
      <c r="BA576" s="83" t="s">
        <v>1651</v>
      </c>
      <c r="BX576" s="79" t="s">
        <v>1691</v>
      </c>
      <c r="BY576" s="79">
        <v>4</v>
      </c>
      <c r="BZ576" s="79" t="s">
        <v>1692</v>
      </c>
      <c r="CA576" s="79" t="s">
        <v>1736</v>
      </c>
      <c r="CB576" s="79" t="s">
        <v>1895</v>
      </c>
      <c r="CG576" s="79">
        <v>4</v>
      </c>
      <c r="CH576" s="79" t="s">
        <v>1895</v>
      </c>
      <c r="CI576" s="79" t="s">
        <v>1169</v>
      </c>
      <c r="CJ576" s="79" t="s">
        <v>1911</v>
      </c>
      <c r="CK576" s="79" t="s">
        <v>1917</v>
      </c>
      <c r="CL576" s="79" t="s">
        <v>19</v>
      </c>
      <c r="CM576" s="79">
        <v>1295</v>
      </c>
      <c r="CR576" s="79" t="s">
        <v>2063</v>
      </c>
      <c r="CT576" s="79" t="s">
        <v>19</v>
      </c>
    </row>
    <row r="577" spans="1:81" hidden="1">
      <c r="A577" s="29" t="s">
        <v>1180</v>
      </c>
      <c r="B577" s="29" t="s">
        <v>74</v>
      </c>
      <c r="C577" s="30">
        <v>2</v>
      </c>
      <c r="D577" s="30" t="s">
        <v>1181</v>
      </c>
      <c r="E577" s="30">
        <v>3</v>
      </c>
      <c r="F577" s="30"/>
      <c r="G577" s="30" t="s">
        <v>52</v>
      </c>
      <c r="H577" s="30"/>
      <c r="I577" s="30"/>
      <c r="J577" s="30"/>
      <c r="K577" s="30" t="s">
        <v>1182</v>
      </c>
      <c r="L577" s="30" t="s">
        <v>1181</v>
      </c>
      <c r="M577" s="30">
        <v>3</v>
      </c>
      <c r="N577" s="30"/>
      <c r="O577" s="23"/>
      <c r="P577" s="23"/>
      <c r="Q577" s="23"/>
      <c r="R577" s="23"/>
      <c r="S577" s="23" t="s">
        <v>64</v>
      </c>
      <c r="T577" s="23"/>
      <c r="U577" s="23" t="s">
        <v>54</v>
      </c>
      <c r="V577" s="23"/>
      <c r="W577" s="31">
        <v>5.6680000000000001</v>
      </c>
      <c r="Y577" t="s">
        <v>40</v>
      </c>
      <c r="Z577" t="s">
        <v>53</v>
      </c>
      <c r="AA577" t="s">
        <v>51</v>
      </c>
      <c r="AB577" t="s">
        <v>1167</v>
      </c>
      <c r="AF577" t="s">
        <v>1438</v>
      </c>
      <c r="AG577" t="s">
        <v>58</v>
      </c>
      <c r="BX577" t="s">
        <v>1182</v>
      </c>
    </row>
    <row r="578" spans="1:81" hidden="1">
      <c r="A578" s="29" t="s">
        <v>1183</v>
      </c>
      <c r="B578" s="29" t="s">
        <v>79</v>
      </c>
      <c r="C578" s="30">
        <v>1</v>
      </c>
      <c r="D578" s="30" t="s">
        <v>1184</v>
      </c>
      <c r="E578" s="30">
        <v>6</v>
      </c>
      <c r="F578" s="30"/>
      <c r="G578" s="30" t="s">
        <v>52</v>
      </c>
      <c r="H578" s="30"/>
      <c r="I578" s="30"/>
      <c r="J578" s="30"/>
      <c r="K578" s="30" t="s">
        <v>1182</v>
      </c>
      <c r="L578" s="30" t="s">
        <v>1184</v>
      </c>
      <c r="M578" s="30">
        <v>4</v>
      </c>
      <c r="N578" s="30"/>
      <c r="O578" s="23"/>
      <c r="P578" s="23"/>
      <c r="Q578" s="23"/>
      <c r="R578" s="23"/>
      <c r="S578" s="23" t="s">
        <v>64</v>
      </c>
      <c r="T578" s="23"/>
      <c r="U578" s="23" t="s">
        <v>54</v>
      </c>
      <c r="V578" s="23"/>
      <c r="W578" s="31">
        <v>2.5</v>
      </c>
      <c r="Y578" t="s">
        <v>40</v>
      </c>
      <c r="Z578" t="s">
        <v>53</v>
      </c>
      <c r="AA578" t="s">
        <v>51</v>
      </c>
      <c r="AB578" t="s">
        <v>1167</v>
      </c>
      <c r="AF578" t="s">
        <v>1438</v>
      </c>
      <c r="AG578" t="s">
        <v>58</v>
      </c>
      <c r="BX578" t="s">
        <v>1182</v>
      </c>
    </row>
    <row r="579" spans="1:81" hidden="1">
      <c r="A579" s="32" t="s">
        <v>1185</v>
      </c>
      <c r="B579" s="32" t="s">
        <v>83</v>
      </c>
      <c r="C579" s="23">
        <v>1</v>
      </c>
      <c r="D579" s="23">
        <v>305500</v>
      </c>
      <c r="E579" s="23">
        <v>6</v>
      </c>
      <c r="F579" s="23" t="s">
        <v>1186</v>
      </c>
      <c r="G579" s="23" t="s">
        <v>85</v>
      </c>
      <c r="H579" s="23">
        <v>180</v>
      </c>
      <c r="I579" s="23" t="s">
        <v>85</v>
      </c>
      <c r="J579" s="23">
        <v>0</v>
      </c>
      <c r="K579" s="23" t="s">
        <v>1187</v>
      </c>
      <c r="L579" s="23" t="s">
        <v>1184</v>
      </c>
      <c r="M579" s="23"/>
      <c r="N579" s="23"/>
      <c r="O579" s="23"/>
      <c r="P579" s="23"/>
      <c r="Q579" s="23"/>
      <c r="R579" s="23"/>
      <c r="S579" s="23" t="s">
        <v>64</v>
      </c>
      <c r="T579" s="23"/>
      <c r="U579" s="23" t="s">
        <v>87</v>
      </c>
      <c r="V579" s="23"/>
      <c r="W579" s="33">
        <v>0</v>
      </c>
      <c r="Y579" t="s">
        <v>365</v>
      </c>
      <c r="Z579" t="s">
        <v>53</v>
      </c>
      <c r="AA579" t="s">
        <v>51</v>
      </c>
      <c r="AB579" t="s">
        <v>1167</v>
      </c>
      <c r="AF579" t="s">
        <v>1438</v>
      </c>
      <c r="AG579" t="s">
        <v>58</v>
      </c>
      <c r="BX579" t="s">
        <v>1790</v>
      </c>
      <c r="BY579" t="s">
        <v>1830</v>
      </c>
      <c r="BZ579" t="s">
        <v>1792</v>
      </c>
      <c r="CA579" t="s">
        <v>1737</v>
      </c>
    </row>
    <row r="580" spans="1:81" hidden="1">
      <c r="A580" s="32" t="s">
        <v>1188</v>
      </c>
      <c r="B580" s="32" t="s">
        <v>79</v>
      </c>
      <c r="C580" s="23">
        <v>101</v>
      </c>
      <c r="D580" s="23">
        <v>1606200</v>
      </c>
      <c r="E580" s="23">
        <v>6</v>
      </c>
      <c r="F580" s="23"/>
      <c r="G580" s="23" t="s">
        <v>52</v>
      </c>
      <c r="H580" s="23" t="s">
        <v>1109</v>
      </c>
      <c r="I580" s="23"/>
      <c r="J580" s="23"/>
      <c r="K580" s="23" t="s">
        <v>1110</v>
      </c>
      <c r="L580" s="23" t="s">
        <v>1184</v>
      </c>
      <c r="M580" s="23"/>
      <c r="N580" s="23"/>
      <c r="O580" s="23"/>
      <c r="P580" s="23"/>
      <c r="Q580" s="23"/>
      <c r="R580" s="23"/>
      <c r="S580" s="23" t="s">
        <v>64</v>
      </c>
      <c r="T580" s="23"/>
      <c r="U580" s="23" t="s">
        <v>17</v>
      </c>
      <c r="V580" s="23"/>
      <c r="W580" s="33">
        <v>0.2</v>
      </c>
      <c r="Y580" t="s">
        <v>124</v>
      </c>
      <c r="Z580" t="s">
        <v>53</v>
      </c>
      <c r="AA580" t="s">
        <v>51</v>
      </c>
      <c r="AB580" t="s">
        <v>1167</v>
      </c>
      <c r="AF580" t="s">
        <v>1438</v>
      </c>
      <c r="AG580" t="s">
        <v>58</v>
      </c>
      <c r="BX580" t="s">
        <v>1713</v>
      </c>
      <c r="BY580" t="s">
        <v>1109</v>
      </c>
      <c r="BZ580" t="s">
        <v>1714</v>
      </c>
      <c r="CA580" s="76">
        <v>46242</v>
      </c>
      <c r="CB580" t="s">
        <v>1715</v>
      </c>
      <c r="CC580" t="s">
        <v>1716</v>
      </c>
    </row>
    <row r="581" spans="1:81" hidden="1">
      <c r="A581" s="32" t="s">
        <v>1189</v>
      </c>
      <c r="B581" s="32" t="s">
        <v>79</v>
      </c>
      <c r="C581" s="23">
        <v>102</v>
      </c>
      <c r="D581" s="23">
        <v>24723900</v>
      </c>
      <c r="E581" s="23">
        <v>6</v>
      </c>
      <c r="F581" s="23"/>
      <c r="G581" s="23" t="s">
        <v>52</v>
      </c>
      <c r="H581" s="23" t="s">
        <v>126</v>
      </c>
      <c r="I581" s="23"/>
      <c r="J581" s="23"/>
      <c r="K581" s="23" t="s">
        <v>127</v>
      </c>
      <c r="L581" s="23" t="s">
        <v>1184</v>
      </c>
      <c r="M581" s="23"/>
      <c r="N581" s="23"/>
      <c r="O581" s="23"/>
      <c r="P581" s="23"/>
      <c r="Q581" s="23"/>
      <c r="R581" s="23"/>
      <c r="S581" s="23" t="s">
        <v>64</v>
      </c>
      <c r="T581" s="23"/>
      <c r="U581" s="23" t="s">
        <v>17</v>
      </c>
      <c r="V581" s="23"/>
      <c r="W581" s="33">
        <v>0.1</v>
      </c>
      <c r="Y581" t="s">
        <v>124</v>
      </c>
      <c r="Z581" t="s">
        <v>53</v>
      </c>
      <c r="AA581" t="s">
        <v>51</v>
      </c>
      <c r="AB581" t="s">
        <v>1167</v>
      </c>
      <c r="AF581" t="s">
        <v>1438</v>
      </c>
      <c r="AG581" t="s">
        <v>58</v>
      </c>
      <c r="BX581" t="s">
        <v>1717</v>
      </c>
      <c r="BY581" t="s">
        <v>126</v>
      </c>
      <c r="BZ581" t="s">
        <v>1718</v>
      </c>
      <c r="CA581">
        <v>8</v>
      </c>
      <c r="CB581" t="s">
        <v>1715</v>
      </c>
      <c r="CC581" t="s">
        <v>1716</v>
      </c>
    </row>
    <row r="582" spans="1:81" hidden="1">
      <c r="A582" s="32" t="s">
        <v>1190</v>
      </c>
      <c r="B582" s="32" t="s">
        <v>79</v>
      </c>
      <c r="C582" s="23">
        <v>103</v>
      </c>
      <c r="D582" s="23">
        <v>24712900</v>
      </c>
      <c r="E582" s="23">
        <v>12</v>
      </c>
      <c r="F582" s="23"/>
      <c r="G582" s="23" t="s">
        <v>52</v>
      </c>
      <c r="H582" s="23">
        <v>21</v>
      </c>
      <c r="I582" s="23"/>
      <c r="J582" s="23"/>
      <c r="K582" s="23" t="s">
        <v>129</v>
      </c>
      <c r="L582" s="23" t="s">
        <v>1184</v>
      </c>
      <c r="M582" s="23"/>
      <c r="N582" s="23"/>
      <c r="O582" s="23"/>
      <c r="P582" s="23"/>
      <c r="Q582" s="23"/>
      <c r="R582" s="23"/>
      <c r="S582" s="23" t="s">
        <v>64</v>
      </c>
      <c r="T582" s="23"/>
      <c r="U582" s="23" t="s">
        <v>17</v>
      </c>
      <c r="V582" s="23"/>
      <c r="W582" s="33">
        <v>1.7000000000000001E-2</v>
      </c>
      <c r="Y582" t="s">
        <v>124</v>
      </c>
      <c r="Z582" t="s">
        <v>53</v>
      </c>
      <c r="AA582" t="s">
        <v>51</v>
      </c>
      <c r="AB582" t="s">
        <v>1167</v>
      </c>
      <c r="AF582" t="s">
        <v>1438</v>
      </c>
      <c r="AG582" t="s">
        <v>58</v>
      </c>
      <c r="BX582" t="s">
        <v>1719</v>
      </c>
      <c r="BY582">
        <v>21</v>
      </c>
      <c r="BZ582" t="s">
        <v>763</v>
      </c>
      <c r="CA582" t="s">
        <v>1720</v>
      </c>
      <c r="CB582" t="s">
        <v>1721</v>
      </c>
    </row>
    <row r="583" spans="1:81" hidden="1">
      <c r="A583" s="29" t="s">
        <v>1191</v>
      </c>
      <c r="B583" s="29" t="s">
        <v>74</v>
      </c>
      <c r="C583" s="30">
        <v>3</v>
      </c>
      <c r="D583" s="30" t="s">
        <v>1192</v>
      </c>
      <c r="E583" s="30">
        <v>2</v>
      </c>
      <c r="F583" s="30"/>
      <c r="G583" s="30" t="s">
        <v>52</v>
      </c>
      <c r="H583" s="30"/>
      <c r="I583" s="30"/>
      <c r="J583" s="30"/>
      <c r="K583" s="30" t="s">
        <v>1193</v>
      </c>
      <c r="L583" s="30" t="s">
        <v>1192</v>
      </c>
      <c r="M583" s="30">
        <v>2</v>
      </c>
      <c r="N583" s="30"/>
      <c r="O583" s="23"/>
      <c r="P583" s="23"/>
      <c r="Q583" s="23"/>
      <c r="R583" s="23"/>
      <c r="S583" s="23"/>
      <c r="T583" s="23"/>
      <c r="U583" s="23" t="s">
        <v>54</v>
      </c>
      <c r="V583" s="23"/>
      <c r="W583" s="31">
        <v>33.744</v>
      </c>
      <c r="Y583" t="s">
        <v>40</v>
      </c>
      <c r="Z583" t="s">
        <v>53</v>
      </c>
      <c r="AA583" t="s">
        <v>51</v>
      </c>
      <c r="AB583" t="s">
        <v>1167</v>
      </c>
      <c r="AF583" t="s">
        <v>1438</v>
      </c>
      <c r="AG583" t="s">
        <v>58</v>
      </c>
      <c r="BX583" t="s">
        <v>1193</v>
      </c>
    </row>
    <row r="584" spans="1:81" hidden="1">
      <c r="A584" s="32" t="s">
        <v>1194</v>
      </c>
      <c r="B584" s="32" t="s">
        <v>79</v>
      </c>
      <c r="C584" s="23">
        <v>1</v>
      </c>
      <c r="D584" s="23">
        <v>249300</v>
      </c>
      <c r="E584" s="23">
        <v>4</v>
      </c>
      <c r="F584" s="23" t="s">
        <v>1195</v>
      </c>
      <c r="G584" s="23" t="s">
        <v>85</v>
      </c>
      <c r="H584" s="23" t="s">
        <v>1196</v>
      </c>
      <c r="I584" s="23" t="s">
        <v>85</v>
      </c>
      <c r="J584" s="23">
        <v>0</v>
      </c>
      <c r="K584" s="23" t="s">
        <v>1197</v>
      </c>
      <c r="L584" s="23" t="s">
        <v>1192</v>
      </c>
      <c r="M584" s="23"/>
      <c r="N584" s="23"/>
      <c r="O584" s="23"/>
      <c r="P584" s="23"/>
      <c r="Q584" s="23"/>
      <c r="R584" s="23"/>
      <c r="S584" s="23" t="s">
        <v>64</v>
      </c>
      <c r="T584" s="23"/>
      <c r="U584" s="23" t="s">
        <v>87</v>
      </c>
      <c r="V584" s="23"/>
      <c r="W584" s="33">
        <v>0</v>
      </c>
      <c r="Y584" t="s">
        <v>365</v>
      </c>
      <c r="Z584" t="s">
        <v>53</v>
      </c>
      <c r="AA584" t="s">
        <v>51</v>
      </c>
      <c r="AB584" t="s">
        <v>1167</v>
      </c>
      <c r="AF584" t="s">
        <v>1438</v>
      </c>
      <c r="AG584" t="s">
        <v>58</v>
      </c>
      <c r="BX584" t="s">
        <v>1785</v>
      </c>
      <c r="BY584" t="s">
        <v>1831</v>
      </c>
      <c r="BZ584" t="s">
        <v>1787</v>
      </c>
      <c r="CA584" t="s">
        <v>1737</v>
      </c>
    </row>
    <row r="585" spans="1:81" hidden="1">
      <c r="A585" s="32" t="s">
        <v>1198</v>
      </c>
      <c r="B585" s="32" t="s">
        <v>79</v>
      </c>
      <c r="C585" s="23">
        <v>2</v>
      </c>
      <c r="D585" s="23">
        <v>312300</v>
      </c>
      <c r="E585" s="23">
        <v>4</v>
      </c>
      <c r="F585" s="23" t="s">
        <v>1199</v>
      </c>
      <c r="G585" s="23" t="s">
        <v>85</v>
      </c>
      <c r="H585" s="23" t="s">
        <v>1177</v>
      </c>
      <c r="I585" s="23" t="s">
        <v>85</v>
      </c>
      <c r="J585" s="23">
        <v>0</v>
      </c>
      <c r="K585" s="23" t="s">
        <v>566</v>
      </c>
      <c r="L585" s="23" t="s">
        <v>1192</v>
      </c>
      <c r="M585" s="23"/>
      <c r="N585" s="23"/>
      <c r="O585" s="23"/>
      <c r="P585" s="23"/>
      <c r="Q585" s="23"/>
      <c r="R585" s="23"/>
      <c r="S585" s="23" t="s">
        <v>64</v>
      </c>
      <c r="T585" s="23"/>
      <c r="U585" s="23" t="s">
        <v>87</v>
      </c>
      <c r="V585" s="23"/>
      <c r="W585" s="33">
        <v>0</v>
      </c>
      <c r="Y585" t="s">
        <v>365</v>
      </c>
      <c r="Z585" t="s">
        <v>53</v>
      </c>
      <c r="AA585" t="s">
        <v>51</v>
      </c>
      <c r="AB585" t="s">
        <v>1167</v>
      </c>
      <c r="AF585" t="s">
        <v>1438</v>
      </c>
      <c r="AG585" t="s">
        <v>58</v>
      </c>
      <c r="BX585" t="s">
        <v>1790</v>
      </c>
      <c r="BY585" t="s">
        <v>1793</v>
      </c>
      <c r="BZ585" t="s">
        <v>1792</v>
      </c>
      <c r="CA585" t="s">
        <v>1737</v>
      </c>
    </row>
    <row r="586" spans="1:81" hidden="1">
      <c r="A586" s="32" t="s">
        <v>1200</v>
      </c>
      <c r="B586" s="32" t="s">
        <v>79</v>
      </c>
      <c r="C586" s="23">
        <v>3</v>
      </c>
      <c r="D586" s="23">
        <v>312300</v>
      </c>
      <c r="E586" s="23">
        <v>2</v>
      </c>
      <c r="F586" s="23" t="s">
        <v>1201</v>
      </c>
      <c r="G586" s="23" t="s">
        <v>85</v>
      </c>
      <c r="H586" s="23" t="s">
        <v>1202</v>
      </c>
      <c r="I586" s="23" t="s">
        <v>85</v>
      </c>
      <c r="J586" s="23">
        <v>0</v>
      </c>
      <c r="K586" s="23" t="s">
        <v>566</v>
      </c>
      <c r="L586" s="23" t="s">
        <v>1192</v>
      </c>
      <c r="M586" s="23"/>
      <c r="N586" s="23"/>
      <c r="O586" s="23"/>
      <c r="P586" s="23"/>
      <c r="Q586" s="23"/>
      <c r="R586" s="23"/>
      <c r="S586" s="23" t="s">
        <v>64</v>
      </c>
      <c r="T586" s="23"/>
      <c r="U586" s="23" t="s">
        <v>87</v>
      </c>
      <c r="V586" s="23"/>
      <c r="W586" s="33">
        <v>0</v>
      </c>
      <c r="Y586" t="s">
        <v>365</v>
      </c>
      <c r="Z586" t="s">
        <v>53</v>
      </c>
      <c r="AA586" t="s">
        <v>51</v>
      </c>
      <c r="AB586" t="s">
        <v>1167</v>
      </c>
      <c r="AF586" t="s">
        <v>1438</v>
      </c>
      <c r="AG586" t="s">
        <v>58</v>
      </c>
      <c r="BX586" t="s">
        <v>1790</v>
      </c>
      <c r="BY586" t="s">
        <v>1793</v>
      </c>
      <c r="BZ586" t="s">
        <v>1792</v>
      </c>
      <c r="CA586" t="s">
        <v>1737</v>
      </c>
    </row>
    <row r="587" spans="1:81" hidden="1">
      <c r="A587" s="29" t="s">
        <v>1203</v>
      </c>
      <c r="B587" s="29" t="s">
        <v>74</v>
      </c>
      <c r="C587" s="30">
        <v>4</v>
      </c>
      <c r="D587" s="30" t="s">
        <v>1204</v>
      </c>
      <c r="E587" s="30">
        <v>1</v>
      </c>
      <c r="F587" s="30"/>
      <c r="G587" s="30" t="s">
        <v>52</v>
      </c>
      <c r="H587" s="30"/>
      <c r="I587" s="30"/>
      <c r="J587" s="30"/>
      <c r="K587" s="30" t="s">
        <v>1205</v>
      </c>
      <c r="L587" s="30" t="s">
        <v>1204</v>
      </c>
      <c r="M587" s="30">
        <v>2</v>
      </c>
      <c r="N587" s="30"/>
      <c r="O587" s="23"/>
      <c r="P587" s="23"/>
      <c r="Q587" s="23"/>
      <c r="R587" s="23"/>
      <c r="S587" s="23"/>
      <c r="T587" s="23"/>
      <c r="U587" s="23" t="s">
        <v>54</v>
      </c>
      <c r="V587" s="23"/>
      <c r="W587" s="31">
        <v>17.731999999999999</v>
      </c>
      <c r="Y587" t="s">
        <v>40</v>
      </c>
      <c r="Z587" t="s">
        <v>53</v>
      </c>
      <c r="AA587" t="s">
        <v>51</v>
      </c>
      <c r="AB587" t="s">
        <v>1167</v>
      </c>
      <c r="AF587" t="s">
        <v>1438</v>
      </c>
      <c r="AG587" t="s">
        <v>58</v>
      </c>
      <c r="BX587" t="s">
        <v>1205</v>
      </c>
    </row>
    <row r="588" spans="1:81" hidden="1">
      <c r="A588" s="32" t="s">
        <v>1206</v>
      </c>
      <c r="B588" s="32" t="s">
        <v>79</v>
      </c>
      <c r="C588" s="23">
        <v>1</v>
      </c>
      <c r="D588" s="23">
        <v>249300</v>
      </c>
      <c r="E588" s="23">
        <v>2</v>
      </c>
      <c r="F588" s="23">
        <v>970</v>
      </c>
      <c r="G588" s="23" t="s">
        <v>85</v>
      </c>
      <c r="H588" s="23">
        <v>485</v>
      </c>
      <c r="I588" s="23" t="s">
        <v>85</v>
      </c>
      <c r="J588" s="23">
        <v>0</v>
      </c>
      <c r="K588" s="23" t="s">
        <v>1197</v>
      </c>
      <c r="L588" s="23" t="s">
        <v>1204</v>
      </c>
      <c r="M588" s="23"/>
      <c r="N588" s="23"/>
      <c r="O588" s="23"/>
      <c r="P588" s="23"/>
      <c r="Q588" s="23"/>
      <c r="R588" s="23"/>
      <c r="S588" s="23" t="s">
        <v>64</v>
      </c>
      <c r="T588" s="23"/>
      <c r="U588" s="23" t="s">
        <v>87</v>
      </c>
      <c r="V588" s="23"/>
      <c r="W588" s="33">
        <v>0</v>
      </c>
      <c r="Y588" t="s">
        <v>365</v>
      </c>
      <c r="Z588" t="s">
        <v>53</v>
      </c>
      <c r="AA588" t="s">
        <v>51</v>
      </c>
      <c r="AB588" t="s">
        <v>1167</v>
      </c>
      <c r="AF588" t="s">
        <v>1438</v>
      </c>
      <c r="AG588" t="s">
        <v>58</v>
      </c>
      <c r="BX588" t="s">
        <v>1785</v>
      </c>
      <c r="BY588" t="s">
        <v>1831</v>
      </c>
      <c r="BZ588" t="s">
        <v>1787</v>
      </c>
      <c r="CA588" t="s">
        <v>1737</v>
      </c>
    </row>
    <row r="589" spans="1:81" hidden="1">
      <c r="A589" s="32" t="s">
        <v>1207</v>
      </c>
      <c r="B589" s="32" t="s">
        <v>79</v>
      </c>
      <c r="C589" s="23">
        <v>2</v>
      </c>
      <c r="D589" s="23">
        <v>312300</v>
      </c>
      <c r="E589" s="23">
        <v>2</v>
      </c>
      <c r="F589" s="23" t="s">
        <v>1208</v>
      </c>
      <c r="G589" s="23" t="s">
        <v>85</v>
      </c>
      <c r="H589" s="23" t="s">
        <v>1177</v>
      </c>
      <c r="I589" s="23" t="s">
        <v>85</v>
      </c>
      <c r="J589" s="23">
        <v>0</v>
      </c>
      <c r="K589" s="23" t="s">
        <v>566</v>
      </c>
      <c r="L589" s="23" t="s">
        <v>1204</v>
      </c>
      <c r="M589" s="23"/>
      <c r="N589" s="23"/>
      <c r="O589" s="23"/>
      <c r="P589" s="23"/>
      <c r="Q589" s="23"/>
      <c r="R589" s="23"/>
      <c r="S589" s="23" t="s">
        <v>64</v>
      </c>
      <c r="T589" s="23"/>
      <c r="U589" s="23" t="s">
        <v>87</v>
      </c>
      <c r="V589" s="23"/>
      <c r="W589" s="33">
        <v>0</v>
      </c>
      <c r="Y589" t="s">
        <v>365</v>
      </c>
      <c r="Z589" t="s">
        <v>53</v>
      </c>
      <c r="AA589" t="s">
        <v>51</v>
      </c>
      <c r="AB589" t="s">
        <v>1167</v>
      </c>
      <c r="AF589" t="s">
        <v>1438</v>
      </c>
      <c r="AG589" t="s">
        <v>58</v>
      </c>
      <c r="BX589" t="s">
        <v>1790</v>
      </c>
      <c r="BY589" t="s">
        <v>1793</v>
      </c>
      <c r="BZ589" t="s">
        <v>1792</v>
      </c>
      <c r="CA589" t="s">
        <v>1737</v>
      </c>
    </row>
    <row r="590" spans="1:81" hidden="1">
      <c r="A590" s="32" t="s">
        <v>1209</v>
      </c>
      <c r="B590" s="32" t="s">
        <v>79</v>
      </c>
      <c r="C590" s="23">
        <v>3</v>
      </c>
      <c r="D590" s="23">
        <v>312300</v>
      </c>
      <c r="E590" s="23">
        <v>1</v>
      </c>
      <c r="F590" s="23" t="s">
        <v>1210</v>
      </c>
      <c r="G590" s="23" t="s">
        <v>85</v>
      </c>
      <c r="H590" s="23" t="s">
        <v>1210</v>
      </c>
      <c r="I590" s="23" t="s">
        <v>85</v>
      </c>
      <c r="J590" s="23">
        <v>0</v>
      </c>
      <c r="K590" s="23" t="s">
        <v>566</v>
      </c>
      <c r="L590" s="23" t="s">
        <v>1204</v>
      </c>
      <c r="M590" s="23"/>
      <c r="N590" s="23"/>
      <c r="O590" s="23"/>
      <c r="P590" s="23"/>
      <c r="Q590" s="23"/>
      <c r="R590" s="23"/>
      <c r="S590" s="23" t="s">
        <v>64</v>
      </c>
      <c r="T590" s="23"/>
      <c r="U590" s="23" t="s">
        <v>87</v>
      </c>
      <c r="V590" s="23"/>
      <c r="W590" s="33">
        <v>0</v>
      </c>
      <c r="Y590" t="s">
        <v>365</v>
      </c>
      <c r="Z590" t="s">
        <v>53</v>
      </c>
      <c r="AA590" t="s">
        <v>51</v>
      </c>
      <c r="AB590" t="s">
        <v>1167</v>
      </c>
      <c r="AF590" t="s">
        <v>1438</v>
      </c>
      <c r="AG590" t="s">
        <v>58</v>
      </c>
      <c r="BX590" t="s">
        <v>1790</v>
      </c>
      <c r="BY590" t="s">
        <v>1793</v>
      </c>
      <c r="BZ590" t="s">
        <v>1792</v>
      </c>
      <c r="CA590" t="s">
        <v>1737</v>
      </c>
    </row>
    <row r="591" spans="1:81" hidden="1">
      <c r="A591" s="29" t="s">
        <v>1211</v>
      </c>
      <c r="B591" s="29" t="s">
        <v>74</v>
      </c>
      <c r="C591" s="30">
        <v>5</v>
      </c>
      <c r="D591" s="30" t="s">
        <v>1212</v>
      </c>
      <c r="E591" s="30">
        <v>7</v>
      </c>
      <c r="F591" s="30"/>
      <c r="G591" s="30" t="s">
        <v>52</v>
      </c>
      <c r="H591" s="30"/>
      <c r="I591" s="30"/>
      <c r="J591" s="30"/>
      <c r="K591" s="30" t="s">
        <v>1213</v>
      </c>
      <c r="L591" s="30" t="s">
        <v>1212</v>
      </c>
      <c r="M591" s="30">
        <v>1</v>
      </c>
      <c r="N591" s="30"/>
      <c r="O591" s="23"/>
      <c r="P591" s="23"/>
      <c r="Q591" s="23"/>
      <c r="R591" s="23"/>
      <c r="S591" s="23" t="s">
        <v>64</v>
      </c>
      <c r="T591" s="23"/>
      <c r="U591" s="23" t="s">
        <v>54</v>
      </c>
      <c r="V591" s="23"/>
      <c r="W591" s="31">
        <v>4.8860000000000001</v>
      </c>
      <c r="Y591" t="s">
        <v>40</v>
      </c>
      <c r="Z591" t="s">
        <v>53</v>
      </c>
      <c r="AA591" t="s">
        <v>51</v>
      </c>
      <c r="AB591" t="s">
        <v>1167</v>
      </c>
      <c r="AF591" t="s">
        <v>1437</v>
      </c>
      <c r="AG591" t="s">
        <v>58</v>
      </c>
      <c r="BX591" t="s">
        <v>1213</v>
      </c>
    </row>
    <row r="592" spans="1:81" ht="45" hidden="1" customHeight="1">
      <c r="A592" s="32" t="s">
        <v>1214</v>
      </c>
      <c r="B592" s="32" t="s">
        <v>79</v>
      </c>
      <c r="C592" s="23">
        <v>1</v>
      </c>
      <c r="D592" s="23">
        <v>6406100</v>
      </c>
      <c r="E592" s="23">
        <v>7</v>
      </c>
      <c r="F592" s="23">
        <v>8.0860000000000003</v>
      </c>
      <c r="G592" s="23" t="s">
        <v>89</v>
      </c>
      <c r="H592" s="23" t="s">
        <v>1215</v>
      </c>
      <c r="I592" s="23" t="s">
        <v>85</v>
      </c>
      <c r="J592" s="23">
        <v>873</v>
      </c>
      <c r="K592" s="34" t="s">
        <v>705</v>
      </c>
      <c r="L592" s="23" t="s">
        <v>1212</v>
      </c>
      <c r="M592" s="23"/>
      <c r="N592" s="23"/>
      <c r="O592" s="23"/>
      <c r="P592" s="23"/>
      <c r="Q592" s="23"/>
      <c r="R592" s="23"/>
      <c r="S592" s="23" t="s">
        <v>64</v>
      </c>
      <c r="T592" s="23"/>
      <c r="U592" s="23" t="s">
        <v>17</v>
      </c>
      <c r="V592" s="23"/>
      <c r="W592" s="33">
        <v>0</v>
      </c>
      <c r="Y592" t="s">
        <v>706</v>
      </c>
      <c r="Z592" t="s">
        <v>53</v>
      </c>
      <c r="AA592" t="s">
        <v>51</v>
      </c>
      <c r="AB592" t="s">
        <v>1167</v>
      </c>
      <c r="AF592" t="s">
        <v>1437</v>
      </c>
      <c r="AG592" t="s">
        <v>58</v>
      </c>
      <c r="BX592" t="s">
        <v>1803</v>
      </c>
    </row>
    <row r="593" spans="1:104" hidden="1">
      <c r="A593" s="32" t="s">
        <v>1216</v>
      </c>
      <c r="B593" s="32" t="s">
        <v>79</v>
      </c>
      <c r="C593" s="23">
        <v>101</v>
      </c>
      <c r="D593" s="23">
        <v>24379100</v>
      </c>
      <c r="E593" s="23">
        <v>28</v>
      </c>
      <c r="F593" s="23"/>
      <c r="G593" s="23" t="s">
        <v>52</v>
      </c>
      <c r="H593" s="23" t="s">
        <v>272</v>
      </c>
      <c r="I593" s="23"/>
      <c r="J593" s="23"/>
      <c r="K593" s="23" t="s">
        <v>273</v>
      </c>
      <c r="L593" s="23" t="s">
        <v>1212</v>
      </c>
      <c r="M593" s="23"/>
      <c r="N593" s="23"/>
      <c r="O593" s="23"/>
      <c r="P593" s="23"/>
      <c r="Q593" s="23"/>
      <c r="R593" s="23"/>
      <c r="S593" s="23" t="s">
        <v>64</v>
      </c>
      <c r="T593" s="23"/>
      <c r="U593" s="23" t="s">
        <v>17</v>
      </c>
      <c r="V593" s="23"/>
      <c r="W593" s="33">
        <v>4.1000000000000002E-2</v>
      </c>
      <c r="Y593" t="s">
        <v>124</v>
      </c>
      <c r="Z593" t="s">
        <v>53</v>
      </c>
      <c r="AA593" t="s">
        <v>51</v>
      </c>
      <c r="AB593" t="s">
        <v>1167</v>
      </c>
      <c r="AF593" t="s">
        <v>1437</v>
      </c>
      <c r="AG593" t="s">
        <v>58</v>
      </c>
      <c r="BX593" t="s">
        <v>1713</v>
      </c>
      <c r="BY593" t="s">
        <v>272</v>
      </c>
      <c r="BZ593" t="s">
        <v>1714</v>
      </c>
      <c r="CA593" s="76">
        <v>46242</v>
      </c>
      <c r="CB593" t="s">
        <v>1715</v>
      </c>
      <c r="CC593" t="s">
        <v>1716</v>
      </c>
    </row>
    <row r="594" spans="1:104" hidden="1">
      <c r="A594" s="32" t="s">
        <v>1217</v>
      </c>
      <c r="B594" s="32" t="s">
        <v>79</v>
      </c>
      <c r="C594" s="23">
        <v>102</v>
      </c>
      <c r="D594" s="23">
        <v>24707900</v>
      </c>
      <c r="E594" s="23">
        <v>28</v>
      </c>
      <c r="F594" s="23"/>
      <c r="G594" s="23" t="s">
        <v>52</v>
      </c>
      <c r="H594" s="23" t="s">
        <v>275</v>
      </c>
      <c r="I594" s="23"/>
      <c r="J594" s="23"/>
      <c r="K594" s="23" t="s">
        <v>276</v>
      </c>
      <c r="L594" s="23" t="s">
        <v>1212</v>
      </c>
      <c r="M594" s="23"/>
      <c r="N594" s="23"/>
      <c r="O594" s="23"/>
      <c r="P594" s="23"/>
      <c r="Q594" s="23"/>
      <c r="R594" s="23"/>
      <c r="S594" s="23" t="s">
        <v>64</v>
      </c>
      <c r="T594" s="23"/>
      <c r="U594" s="23" t="s">
        <v>17</v>
      </c>
      <c r="V594" s="23"/>
      <c r="W594" s="33">
        <v>1.7000000000000001E-2</v>
      </c>
      <c r="Y594" t="s">
        <v>124</v>
      </c>
      <c r="Z594" t="s">
        <v>53</v>
      </c>
      <c r="AA594" t="s">
        <v>51</v>
      </c>
      <c r="AB594" t="s">
        <v>1167</v>
      </c>
      <c r="AF594" t="s">
        <v>1437</v>
      </c>
      <c r="AG594" t="s">
        <v>58</v>
      </c>
      <c r="BX594" t="s">
        <v>1717</v>
      </c>
      <c r="BY594" t="s">
        <v>275</v>
      </c>
      <c r="BZ594" t="s">
        <v>1718</v>
      </c>
      <c r="CA594">
        <v>8</v>
      </c>
      <c r="CB594" t="s">
        <v>1715</v>
      </c>
      <c r="CC594" t="s">
        <v>1716</v>
      </c>
    </row>
    <row r="595" spans="1:104" hidden="1">
      <c r="A595" s="32" t="s">
        <v>1218</v>
      </c>
      <c r="B595" s="32" t="s">
        <v>79</v>
      </c>
      <c r="C595" s="23">
        <v>103</v>
      </c>
      <c r="D595" s="23">
        <v>2568000</v>
      </c>
      <c r="E595" s="23">
        <v>28</v>
      </c>
      <c r="F595" s="23"/>
      <c r="G595" s="23" t="s">
        <v>52</v>
      </c>
      <c r="H595" s="23"/>
      <c r="I595" s="23"/>
      <c r="J595" s="23"/>
      <c r="K595" s="23" t="s">
        <v>1219</v>
      </c>
      <c r="L595" s="23" t="s">
        <v>1212</v>
      </c>
      <c r="M595" s="23"/>
      <c r="N595" s="23"/>
      <c r="O595" s="23"/>
      <c r="P595" s="23"/>
      <c r="Q595" s="23"/>
      <c r="R595" s="23"/>
      <c r="S595" s="23" t="s">
        <v>64</v>
      </c>
      <c r="T595" s="23"/>
      <c r="U595" s="23" t="s">
        <v>17</v>
      </c>
      <c r="V595" s="23"/>
      <c r="W595" s="33">
        <v>5.0000000000000001E-3</v>
      </c>
      <c r="Y595" t="s">
        <v>124</v>
      </c>
      <c r="Z595" t="s">
        <v>53</v>
      </c>
      <c r="AA595" t="s">
        <v>51</v>
      </c>
      <c r="AB595" t="s">
        <v>1167</v>
      </c>
      <c r="AF595" t="s">
        <v>1437</v>
      </c>
      <c r="AG595" t="s">
        <v>58</v>
      </c>
      <c r="BX595" t="s">
        <v>1719</v>
      </c>
      <c r="BY595">
        <v>12</v>
      </c>
      <c r="BZ595" t="s">
        <v>1707</v>
      </c>
      <c r="CA595" t="s">
        <v>1748</v>
      </c>
      <c r="CB595" t="s">
        <v>1832</v>
      </c>
    </row>
    <row r="596" spans="1:104" hidden="1">
      <c r="A596" s="32" t="s">
        <v>1220</v>
      </c>
      <c r="B596" s="32" t="s">
        <v>79</v>
      </c>
      <c r="C596" s="23">
        <v>104</v>
      </c>
      <c r="D596" s="23">
        <v>5486900</v>
      </c>
      <c r="E596" s="23">
        <v>28</v>
      </c>
      <c r="F596" s="23"/>
      <c r="G596" s="23" t="s">
        <v>52</v>
      </c>
      <c r="H596" s="23"/>
      <c r="I596" s="23"/>
      <c r="J596" s="23"/>
      <c r="K596" s="23" t="s">
        <v>1221</v>
      </c>
      <c r="L596" s="23" t="s">
        <v>1212</v>
      </c>
      <c r="M596" s="23"/>
      <c r="N596" s="23"/>
      <c r="O596" s="23"/>
      <c r="P596" s="23"/>
      <c r="Q596" s="23"/>
      <c r="R596" s="23"/>
      <c r="S596" s="23" t="s">
        <v>64</v>
      </c>
      <c r="T596" s="23"/>
      <c r="U596" s="23" t="s">
        <v>17</v>
      </c>
      <c r="V596" s="23"/>
      <c r="W596" s="33">
        <v>0.06</v>
      </c>
      <c r="Y596" t="s">
        <v>124</v>
      </c>
      <c r="Z596" t="s">
        <v>53</v>
      </c>
      <c r="AA596" t="s">
        <v>51</v>
      </c>
      <c r="AB596" t="s">
        <v>1167</v>
      </c>
      <c r="AF596" t="s">
        <v>1437</v>
      </c>
      <c r="AG596" t="s">
        <v>58</v>
      </c>
      <c r="BX596" t="s">
        <v>1719</v>
      </c>
      <c r="BY596">
        <v>14</v>
      </c>
      <c r="BZ596" t="s">
        <v>1805</v>
      </c>
      <c r="CA596" t="s">
        <v>1833</v>
      </c>
    </row>
    <row r="597" spans="1:104" hidden="1">
      <c r="A597" s="29" t="s">
        <v>1222</v>
      </c>
      <c r="B597" s="29" t="s">
        <v>74</v>
      </c>
      <c r="C597" s="30">
        <v>6</v>
      </c>
      <c r="D597" s="30" t="s">
        <v>1223</v>
      </c>
      <c r="E597" s="30">
        <v>10</v>
      </c>
      <c r="F597" s="30"/>
      <c r="G597" s="30" t="s">
        <v>52</v>
      </c>
      <c r="H597" s="30"/>
      <c r="I597" s="30"/>
      <c r="J597" s="30"/>
      <c r="K597" s="30" t="s">
        <v>1224</v>
      </c>
      <c r="L597" s="30" t="s">
        <v>1223</v>
      </c>
      <c r="M597" s="30">
        <v>3</v>
      </c>
      <c r="N597" s="30" t="s">
        <v>763</v>
      </c>
      <c r="O597" s="23"/>
      <c r="P597" s="23"/>
      <c r="Q597" s="23"/>
      <c r="R597" s="23"/>
      <c r="S597" s="23" t="s">
        <v>64</v>
      </c>
      <c r="T597" s="23"/>
      <c r="U597" s="23" t="s">
        <v>54</v>
      </c>
      <c r="V597" s="23"/>
      <c r="W597" s="31">
        <v>40.200000000000003</v>
      </c>
      <c r="Y597" t="s">
        <v>40</v>
      </c>
      <c r="Z597" t="s">
        <v>53</v>
      </c>
      <c r="AA597" t="s">
        <v>51</v>
      </c>
      <c r="AB597" t="s">
        <v>1167</v>
      </c>
      <c r="AF597" t="s">
        <v>1437</v>
      </c>
      <c r="AG597" t="s">
        <v>58</v>
      </c>
      <c r="BX597" t="s">
        <v>1224</v>
      </c>
    </row>
    <row r="598" spans="1:104" s="79" customFormat="1">
      <c r="A598" s="80" t="s">
        <v>1225</v>
      </c>
      <c r="B598" s="80" t="s">
        <v>79</v>
      </c>
      <c r="C598" s="81">
        <v>1</v>
      </c>
      <c r="D598" s="81">
        <v>3029300</v>
      </c>
      <c r="E598" s="81">
        <v>10</v>
      </c>
      <c r="F598" s="81">
        <v>25.338999999999999</v>
      </c>
      <c r="G598" s="81" t="s">
        <v>89</v>
      </c>
      <c r="H598" s="81" t="s">
        <v>814</v>
      </c>
      <c r="I598" s="81" t="s">
        <v>85</v>
      </c>
      <c r="J598" s="81" t="s">
        <v>1226</v>
      </c>
      <c r="K598" s="81" t="s">
        <v>591</v>
      </c>
      <c r="L598" s="81" t="s">
        <v>1223</v>
      </c>
      <c r="M598" s="81"/>
      <c r="N598" s="81"/>
      <c r="O598" s="23"/>
      <c r="P598" s="23"/>
      <c r="Q598" s="23"/>
      <c r="R598" s="23"/>
      <c r="S598" s="23" t="s">
        <v>64</v>
      </c>
      <c r="T598" s="23"/>
      <c r="U598" s="23" t="s">
        <v>87</v>
      </c>
      <c r="V598" s="23"/>
      <c r="W598" s="82">
        <v>0</v>
      </c>
      <c r="Y598" s="79" t="s">
        <v>161</v>
      </c>
      <c r="Z598" s="79" t="s">
        <v>53</v>
      </c>
      <c r="AA598" s="79" t="s">
        <v>51</v>
      </c>
      <c r="AB598" s="79" t="s">
        <v>1167</v>
      </c>
      <c r="AF598" s="79" t="s">
        <v>1437</v>
      </c>
      <c r="AG598" s="79" t="s">
        <v>58</v>
      </c>
      <c r="AI598" s="79" t="str">
        <f>BY598&amp;"_"&amp;CB598&amp;"_"&amp;L598&amp;"_p"&amp;C598&amp;"_"&amp;E598&amp;"st_"&amp;AK598&amp;"_"&amp;RIGHT(AG598,4)&amp;"_"&amp;AL598</f>
        <v>2_oc_SL41085200_p1_10st_GO_2050_</v>
      </c>
      <c r="AK598" s="79" t="s">
        <v>1930</v>
      </c>
      <c r="AM598" s="79" t="s">
        <v>1675</v>
      </c>
      <c r="AO598"/>
      <c r="AP598"/>
      <c r="AQ598"/>
      <c r="AR598"/>
      <c r="AS598"/>
      <c r="AT598"/>
      <c r="AU598"/>
      <c r="AV598"/>
      <c r="AW598"/>
      <c r="AX598"/>
      <c r="AY598"/>
      <c r="AZ598" s="83" t="s">
        <v>1652</v>
      </c>
      <c r="BA598" s="83" t="s">
        <v>1653</v>
      </c>
      <c r="BX598" s="79" t="s">
        <v>1691</v>
      </c>
      <c r="BY598" s="79">
        <v>2</v>
      </c>
      <c r="BZ598" s="79" t="s">
        <v>1742</v>
      </c>
      <c r="CA598" s="79" t="s">
        <v>1743</v>
      </c>
      <c r="CB598" s="79" t="s">
        <v>1897</v>
      </c>
      <c r="CG598" s="79">
        <v>2</v>
      </c>
      <c r="CH598" s="79" t="s">
        <v>1896</v>
      </c>
      <c r="CI598" s="79" t="s">
        <v>1223</v>
      </c>
      <c r="CJ598" s="79" t="s">
        <v>1898</v>
      </c>
      <c r="CK598" s="79" t="s">
        <v>1917</v>
      </c>
      <c r="CL598" s="79" t="s">
        <v>1930</v>
      </c>
      <c r="CM598" s="79" t="s">
        <v>1931</v>
      </c>
      <c r="CN598" s="79" t="s">
        <v>1932</v>
      </c>
      <c r="CR598" s="79" t="s">
        <v>2064</v>
      </c>
      <c r="CT598" s="79" t="s">
        <v>1930</v>
      </c>
    </row>
    <row r="599" spans="1:104" hidden="1">
      <c r="A599" s="29" t="s">
        <v>1227</v>
      </c>
      <c r="B599" s="29" t="s">
        <v>74</v>
      </c>
      <c r="C599" s="30">
        <v>7</v>
      </c>
      <c r="D599" s="30" t="s">
        <v>1228</v>
      </c>
      <c r="E599" s="30">
        <v>1</v>
      </c>
      <c r="F599" s="30"/>
      <c r="G599" s="30" t="s">
        <v>52</v>
      </c>
      <c r="H599" s="30"/>
      <c r="I599" s="30"/>
      <c r="J599" s="30"/>
      <c r="K599" s="30" t="s">
        <v>1229</v>
      </c>
      <c r="L599" s="30" t="s">
        <v>1228</v>
      </c>
      <c r="M599" s="30">
        <v>3</v>
      </c>
      <c r="N599" s="30" t="s">
        <v>763</v>
      </c>
      <c r="O599" s="23"/>
      <c r="P599" s="23"/>
      <c r="Q599" s="23"/>
      <c r="R599" s="23"/>
      <c r="S599" s="23" t="s">
        <v>64</v>
      </c>
      <c r="T599" s="23"/>
      <c r="U599" s="23" t="s">
        <v>54</v>
      </c>
      <c r="V599" s="23"/>
      <c r="W599" s="31">
        <v>33.1</v>
      </c>
      <c r="Y599" t="s">
        <v>40</v>
      </c>
      <c r="Z599" t="s">
        <v>53</v>
      </c>
      <c r="AA599" t="s">
        <v>51</v>
      </c>
      <c r="AB599" t="s">
        <v>1167</v>
      </c>
      <c r="AF599" t="s">
        <v>1437</v>
      </c>
      <c r="AG599" t="s">
        <v>58</v>
      </c>
      <c r="BX599" t="s">
        <v>1229</v>
      </c>
    </row>
    <row r="600" spans="1:104" s="79" customFormat="1">
      <c r="A600" s="80" t="s">
        <v>1230</v>
      </c>
      <c r="B600" s="80" t="s">
        <v>79</v>
      </c>
      <c r="C600" s="81">
        <v>1</v>
      </c>
      <c r="D600" s="81">
        <v>3029300</v>
      </c>
      <c r="E600" s="81">
        <v>1</v>
      </c>
      <c r="F600" s="81">
        <v>2.1030000000000002</v>
      </c>
      <c r="G600" s="81" t="s">
        <v>89</v>
      </c>
      <c r="H600" s="81" t="s">
        <v>1231</v>
      </c>
      <c r="I600" s="81" t="s">
        <v>85</v>
      </c>
      <c r="J600" s="81" t="s">
        <v>1226</v>
      </c>
      <c r="K600" s="81" t="s">
        <v>591</v>
      </c>
      <c r="L600" s="81" t="s">
        <v>1228</v>
      </c>
      <c r="M600" s="81"/>
      <c r="N600" s="81"/>
      <c r="O600" s="23"/>
      <c r="P600" s="23"/>
      <c r="Q600" s="23"/>
      <c r="R600" s="23"/>
      <c r="S600" s="23" t="s">
        <v>64</v>
      </c>
      <c r="T600" s="23"/>
      <c r="U600" s="23" t="s">
        <v>87</v>
      </c>
      <c r="V600" s="23"/>
      <c r="W600" s="82">
        <v>0</v>
      </c>
      <c r="Y600" s="79" t="s">
        <v>161</v>
      </c>
      <c r="Z600" s="79" t="s">
        <v>53</v>
      </c>
      <c r="AA600" s="79" t="s">
        <v>51</v>
      </c>
      <c r="AB600" s="79" t="s">
        <v>1167</v>
      </c>
      <c r="AF600" s="79" t="s">
        <v>1437</v>
      </c>
      <c r="AG600" s="79" t="s">
        <v>58</v>
      </c>
      <c r="AI600" s="79" t="str">
        <f>BY600&amp;"_"&amp;CB600&amp;"_"&amp;L600&amp;"_p"&amp;C600&amp;"_"&amp;E600&amp;"st_"&amp;AK600&amp;"_"&amp;RIGHT(AG600,4)&amp;"_"&amp;AL600</f>
        <v>2_oc_SL41085202_p1_1st_G_2050_</v>
      </c>
      <c r="AK600" s="79" t="s">
        <v>1900</v>
      </c>
      <c r="AM600" s="79" t="s">
        <v>1675</v>
      </c>
      <c r="AO600"/>
      <c r="AP600"/>
      <c r="AQ600"/>
      <c r="AR600"/>
      <c r="AS600"/>
      <c r="AT600"/>
      <c r="AU600"/>
      <c r="AV600"/>
      <c r="AW600"/>
      <c r="AX600"/>
      <c r="AY600"/>
      <c r="AZ600" s="83" t="s">
        <v>1654</v>
      </c>
      <c r="BA600" s="83" t="s">
        <v>1655</v>
      </c>
      <c r="BX600" s="79" t="s">
        <v>1691</v>
      </c>
      <c r="BY600" s="79">
        <v>2</v>
      </c>
      <c r="BZ600" s="79" t="s">
        <v>1742</v>
      </c>
      <c r="CA600" s="79" t="s">
        <v>1743</v>
      </c>
      <c r="CB600" s="79" t="s">
        <v>1897</v>
      </c>
      <c r="CG600" s="79">
        <v>2</v>
      </c>
      <c r="CH600" s="79" t="s">
        <v>1933</v>
      </c>
      <c r="CI600" s="79" t="s">
        <v>1228</v>
      </c>
      <c r="CJ600" s="79" t="s">
        <v>1898</v>
      </c>
      <c r="CK600" s="79" t="s">
        <v>1924</v>
      </c>
      <c r="CL600" s="79" t="s">
        <v>1900</v>
      </c>
      <c r="CM600" s="79">
        <v>2158</v>
      </c>
      <c r="CR600" s="79" t="s">
        <v>2065</v>
      </c>
      <c r="CT600" s="79" t="s">
        <v>1900</v>
      </c>
    </row>
    <row r="601" spans="1:104" hidden="1">
      <c r="A601" s="29" t="s">
        <v>1232</v>
      </c>
      <c r="B601" s="29" t="s">
        <v>74</v>
      </c>
      <c r="C601" s="30">
        <v>8</v>
      </c>
      <c r="D601" s="30" t="s">
        <v>1233</v>
      </c>
      <c r="E601" s="30">
        <v>1</v>
      </c>
      <c r="F601" s="30"/>
      <c r="G601" s="30" t="s">
        <v>52</v>
      </c>
      <c r="H601" s="30"/>
      <c r="I601" s="30"/>
      <c r="J601" s="30"/>
      <c r="K601" s="30" t="s">
        <v>1224</v>
      </c>
      <c r="L601" s="30" t="s">
        <v>1233</v>
      </c>
      <c r="M601" s="30">
        <v>3</v>
      </c>
      <c r="N601" s="30"/>
      <c r="O601" s="23"/>
      <c r="P601" s="23"/>
      <c r="Q601" s="23"/>
      <c r="R601" s="23"/>
      <c r="S601" s="23"/>
      <c r="T601" s="23"/>
      <c r="U601" s="23" t="s">
        <v>54</v>
      </c>
      <c r="V601" s="23"/>
      <c r="W601" s="31">
        <v>33.000999999999998</v>
      </c>
      <c r="Y601" t="s">
        <v>40</v>
      </c>
      <c r="Z601" t="s">
        <v>53</v>
      </c>
      <c r="AA601" t="s">
        <v>51</v>
      </c>
      <c r="AB601" t="s">
        <v>1167</v>
      </c>
      <c r="AF601" t="s">
        <v>1437</v>
      </c>
      <c r="AG601" t="s">
        <v>58</v>
      </c>
      <c r="BX601" t="s">
        <v>1224</v>
      </c>
    </row>
    <row r="602" spans="1:104">
      <c r="A602" s="32" t="s">
        <v>1234</v>
      </c>
      <c r="B602" s="32" t="s">
        <v>79</v>
      </c>
      <c r="C602" s="23">
        <v>1</v>
      </c>
      <c r="D602" s="23">
        <v>272300</v>
      </c>
      <c r="E602" s="23">
        <v>1</v>
      </c>
      <c r="F602" s="23">
        <v>2.5339999999999998</v>
      </c>
      <c r="G602" s="23" t="s">
        <v>89</v>
      </c>
      <c r="H602" s="23" t="s">
        <v>814</v>
      </c>
      <c r="I602" s="23" t="s">
        <v>85</v>
      </c>
      <c r="J602" s="23" t="s">
        <v>1226</v>
      </c>
      <c r="K602" s="23" t="s">
        <v>422</v>
      </c>
      <c r="L602" s="23" t="s">
        <v>1233</v>
      </c>
      <c r="M602" s="23"/>
      <c r="N602" s="23"/>
      <c r="O602" s="23"/>
      <c r="P602" s="23"/>
      <c r="Q602" s="23"/>
      <c r="R602" s="23"/>
      <c r="S602" s="23" t="s">
        <v>64</v>
      </c>
      <c r="T602" s="23"/>
      <c r="U602" s="23" t="s">
        <v>87</v>
      </c>
      <c r="V602" s="23"/>
      <c r="W602" s="33">
        <v>0</v>
      </c>
      <c r="Y602" t="s">
        <v>161</v>
      </c>
      <c r="Z602" t="s">
        <v>53</v>
      </c>
      <c r="AA602" t="s">
        <v>51</v>
      </c>
      <c r="AB602" t="s">
        <v>1167</v>
      </c>
      <c r="AC602" t="s">
        <v>1428</v>
      </c>
      <c r="AF602" t="s">
        <v>1437</v>
      </c>
      <c r="AG602" t="s">
        <v>58</v>
      </c>
      <c r="AI602" t="str">
        <f>BY602&amp;"_"&amp;CB602&amp;"_"&amp;L602&amp;"_p"&amp;C602&amp;"_"&amp;E602&amp;"st_"&amp;AK602&amp;"_"&amp;RIGHT(AG602,4)&amp;"_"&amp;AL602</f>
        <v>2_DC01_SL10585357_p1_1st_G_2050_</v>
      </c>
      <c r="AK602" t="str">
        <f>CT602</f>
        <v>G</v>
      </c>
      <c r="AM602" t="s">
        <v>1674</v>
      </c>
      <c r="AZ602" s="64" t="s">
        <v>1656</v>
      </c>
      <c r="BX602" t="s">
        <v>1691</v>
      </c>
      <c r="BY602">
        <v>2</v>
      </c>
      <c r="BZ602" t="s">
        <v>1767</v>
      </c>
      <c r="CA602" t="s">
        <v>1768</v>
      </c>
      <c r="CB602" t="s">
        <v>1894</v>
      </c>
      <c r="CR602" t="s">
        <v>2066</v>
      </c>
      <c r="CT602" t="s">
        <v>1900</v>
      </c>
      <c r="CW602" t="b">
        <f>AI602=CR602</f>
        <v>1</v>
      </c>
      <c r="CX602" t="b">
        <f t="shared" ref="CX602" si="92">AJ602=CS602</f>
        <v>1</v>
      </c>
      <c r="CY602" t="b">
        <f t="shared" ref="CY602" si="93">AK602=CT602</f>
        <v>1</v>
      </c>
      <c r="CZ602" t="b">
        <f t="shared" ref="CZ602" si="94">AL602=CU602</f>
        <v>1</v>
      </c>
    </row>
    <row r="603" spans="1:104" hidden="1">
      <c r="A603" s="29" t="s">
        <v>1235</v>
      </c>
      <c r="B603" s="29" t="s">
        <v>74</v>
      </c>
      <c r="C603" s="30">
        <v>9</v>
      </c>
      <c r="D603" s="30" t="s">
        <v>1236</v>
      </c>
      <c r="E603" s="30">
        <v>1</v>
      </c>
      <c r="F603" s="30"/>
      <c r="G603" s="30" t="s">
        <v>52</v>
      </c>
      <c r="H603" s="30"/>
      <c r="I603" s="30"/>
      <c r="J603" s="30"/>
      <c r="K603" s="30" t="s">
        <v>1237</v>
      </c>
      <c r="L603" s="30" t="s">
        <v>1236</v>
      </c>
      <c r="M603" s="30">
        <v>3</v>
      </c>
      <c r="N603" s="30" t="s">
        <v>763</v>
      </c>
      <c r="O603" s="23"/>
      <c r="P603" s="23"/>
      <c r="Q603" s="23"/>
      <c r="R603" s="23"/>
      <c r="S603" s="23" t="s">
        <v>64</v>
      </c>
      <c r="T603" s="23"/>
      <c r="U603" s="23" t="s">
        <v>54</v>
      </c>
      <c r="V603" s="23"/>
      <c r="W603" s="31">
        <v>0.9</v>
      </c>
      <c r="Y603" t="s">
        <v>40</v>
      </c>
      <c r="Z603" t="s">
        <v>53</v>
      </c>
      <c r="AA603" t="s">
        <v>51</v>
      </c>
      <c r="AB603" t="s">
        <v>1167</v>
      </c>
      <c r="AF603" t="s">
        <v>1437</v>
      </c>
      <c r="AG603" t="s">
        <v>58</v>
      </c>
      <c r="BX603" t="s">
        <v>1237</v>
      </c>
    </row>
    <row r="604" spans="1:104" s="79" customFormat="1">
      <c r="A604" s="80" t="s">
        <v>1238</v>
      </c>
      <c r="B604" s="80" t="s">
        <v>79</v>
      </c>
      <c r="C604" s="81">
        <v>1</v>
      </c>
      <c r="D604" s="81">
        <v>3029200</v>
      </c>
      <c r="E604" s="81">
        <v>1</v>
      </c>
      <c r="F604" s="81">
        <v>0.11899999999999999</v>
      </c>
      <c r="G604" s="81" t="s">
        <v>89</v>
      </c>
      <c r="H604" s="81" t="s">
        <v>1239</v>
      </c>
      <c r="I604" s="81" t="s">
        <v>85</v>
      </c>
      <c r="J604" s="81">
        <v>115</v>
      </c>
      <c r="K604" s="81" t="s">
        <v>1240</v>
      </c>
      <c r="L604" s="81" t="s">
        <v>1236</v>
      </c>
      <c r="M604" s="81"/>
      <c r="N604" s="81"/>
      <c r="O604" s="23"/>
      <c r="P604" s="23"/>
      <c r="Q604" s="23"/>
      <c r="R604" s="23"/>
      <c r="S604" s="23" t="s">
        <v>64</v>
      </c>
      <c r="T604" s="23"/>
      <c r="U604" s="23" t="s">
        <v>87</v>
      </c>
      <c r="V604" s="23"/>
      <c r="W604" s="82">
        <v>0</v>
      </c>
      <c r="Y604" s="79" t="s">
        <v>161</v>
      </c>
      <c r="Z604" s="79" t="s">
        <v>53</v>
      </c>
      <c r="AA604" s="79" t="s">
        <v>51</v>
      </c>
      <c r="AB604" s="79" t="s">
        <v>1167</v>
      </c>
      <c r="AF604" s="79" t="s">
        <v>1437</v>
      </c>
      <c r="AG604" s="79" t="s">
        <v>58</v>
      </c>
      <c r="AI604" s="79" t="str">
        <f>BY604&amp;"_"&amp;CB604&amp;"_"&amp;L604&amp;"_p"&amp;C604&amp;"_"&amp;E604&amp;"st_"&amp;AK604&amp;"_"&amp;RIGHT(AG604,4)&amp;"_"&amp;AL604</f>
        <v>1_oc_SL41085203_p1_1st_GS_2050_</v>
      </c>
      <c r="AK604" s="79" t="s">
        <v>1903</v>
      </c>
      <c r="AM604" s="79" t="s">
        <v>1675</v>
      </c>
      <c r="AO604"/>
      <c r="AP604"/>
      <c r="AQ604"/>
      <c r="AR604"/>
      <c r="AS604"/>
      <c r="AT604"/>
      <c r="AU604"/>
      <c r="AV604"/>
      <c r="AW604"/>
      <c r="AX604"/>
      <c r="AY604"/>
      <c r="AZ604" s="83" t="s">
        <v>1657</v>
      </c>
      <c r="BA604" s="83" t="s">
        <v>1658</v>
      </c>
      <c r="BX604" s="79" t="s">
        <v>1691</v>
      </c>
      <c r="BY604" s="79">
        <v>1</v>
      </c>
      <c r="BZ604" s="79" t="s">
        <v>1742</v>
      </c>
      <c r="CA604" s="79" t="s">
        <v>1743</v>
      </c>
      <c r="CB604" s="79" t="s">
        <v>1897</v>
      </c>
      <c r="CG604" s="79">
        <v>1</v>
      </c>
      <c r="CH604" s="79" t="s">
        <v>1896</v>
      </c>
      <c r="CI604" s="79" t="s">
        <v>1236</v>
      </c>
      <c r="CJ604" s="79" t="s">
        <v>1898</v>
      </c>
      <c r="CK604" s="79" t="s">
        <v>1934</v>
      </c>
      <c r="CL604" s="79" t="s">
        <v>1903</v>
      </c>
      <c r="CM604" s="79">
        <v>42025</v>
      </c>
      <c r="CR604" s="79" t="s">
        <v>2067</v>
      </c>
      <c r="CT604" s="79" t="s">
        <v>1903</v>
      </c>
    </row>
    <row r="605" spans="1:104" hidden="1">
      <c r="A605" s="32" t="s">
        <v>1241</v>
      </c>
      <c r="B605" s="32" t="s">
        <v>79</v>
      </c>
      <c r="C605" s="23">
        <v>101</v>
      </c>
      <c r="D605" s="23">
        <v>2934600</v>
      </c>
      <c r="E605" s="23">
        <v>8</v>
      </c>
      <c r="F605" s="23"/>
      <c r="G605" s="23" t="s">
        <v>52</v>
      </c>
      <c r="H605" s="23"/>
      <c r="I605" s="23"/>
      <c r="J605" s="23"/>
      <c r="K605" s="23" t="s">
        <v>1242</v>
      </c>
      <c r="L605" s="23" t="s">
        <v>1236</v>
      </c>
      <c r="M605" s="23"/>
      <c r="N605" s="23"/>
      <c r="O605" s="23"/>
      <c r="P605" s="23"/>
      <c r="Q605" s="23"/>
      <c r="R605" s="23"/>
      <c r="S605" s="23" t="s">
        <v>64</v>
      </c>
      <c r="T605" s="23"/>
      <c r="U605" s="23" t="s">
        <v>17</v>
      </c>
      <c r="V605" s="23"/>
      <c r="W605" s="33">
        <v>1.6E-2</v>
      </c>
      <c r="Y605" s="59" t="s">
        <v>124</v>
      </c>
      <c r="Z605" t="s">
        <v>53</v>
      </c>
      <c r="AA605" t="s">
        <v>51</v>
      </c>
      <c r="AB605" t="s">
        <v>1167</v>
      </c>
      <c r="AF605" t="s">
        <v>1437</v>
      </c>
      <c r="AG605" t="s">
        <v>58</v>
      </c>
      <c r="BX605" t="s">
        <v>1834</v>
      </c>
      <c r="BY605" t="s">
        <v>1835</v>
      </c>
    </row>
    <row r="606" spans="1:104" hidden="1">
      <c r="A606" s="29" t="s">
        <v>1243</v>
      </c>
      <c r="B606" s="29" t="s">
        <v>74</v>
      </c>
      <c r="C606" s="30">
        <v>10</v>
      </c>
      <c r="D606" s="30" t="s">
        <v>1244</v>
      </c>
      <c r="E606" s="30">
        <v>48</v>
      </c>
      <c r="F606" s="30"/>
      <c r="G606" s="30" t="s">
        <v>52</v>
      </c>
      <c r="H606" s="30" t="s">
        <v>1245</v>
      </c>
      <c r="I606" s="30"/>
      <c r="J606" s="30"/>
      <c r="K606" s="30" t="s">
        <v>1246</v>
      </c>
      <c r="L606" s="30">
        <v>500173</v>
      </c>
      <c r="M606" s="30">
        <v>3</v>
      </c>
      <c r="N606" s="30"/>
      <c r="O606" s="23"/>
      <c r="P606" s="23"/>
      <c r="Q606" s="23"/>
      <c r="R606" s="23"/>
      <c r="S606" s="23" t="s">
        <v>64</v>
      </c>
      <c r="T606" s="23"/>
      <c r="U606" s="23" t="s">
        <v>54</v>
      </c>
      <c r="V606" s="23"/>
      <c r="W606" s="31">
        <v>0.13700000000000001</v>
      </c>
      <c r="Y606" t="s">
        <v>40</v>
      </c>
      <c r="Z606" t="s">
        <v>53</v>
      </c>
      <c r="AA606" t="s">
        <v>51</v>
      </c>
      <c r="AB606" t="s">
        <v>1167</v>
      </c>
      <c r="AF606" t="s">
        <v>1437</v>
      </c>
      <c r="AG606" t="s">
        <v>58</v>
      </c>
      <c r="BX606" t="s">
        <v>1246</v>
      </c>
    </row>
    <row r="607" spans="1:104" hidden="1">
      <c r="A607" s="29" t="s">
        <v>1247</v>
      </c>
      <c r="B607" s="29" t="s">
        <v>79</v>
      </c>
      <c r="C607" s="30">
        <v>1</v>
      </c>
      <c r="D607" s="30" t="s">
        <v>1248</v>
      </c>
      <c r="E607" s="30">
        <v>48</v>
      </c>
      <c r="F607" s="30"/>
      <c r="G607" s="30" t="s">
        <v>52</v>
      </c>
      <c r="H607" s="30" t="s">
        <v>1249</v>
      </c>
      <c r="I607" s="30"/>
      <c r="J607" s="30"/>
      <c r="K607" s="30" t="s">
        <v>1250</v>
      </c>
      <c r="L607" s="30">
        <v>500173</v>
      </c>
      <c r="M607" s="30">
        <v>3</v>
      </c>
      <c r="N607" s="30"/>
      <c r="O607" s="23"/>
      <c r="P607" s="23"/>
      <c r="Q607" s="23"/>
      <c r="R607" s="23"/>
      <c r="S607" s="23" t="s">
        <v>64</v>
      </c>
      <c r="T607" s="23"/>
      <c r="U607" s="23" t="s">
        <v>54</v>
      </c>
      <c r="V607" s="23"/>
      <c r="W607" s="31">
        <v>0.11</v>
      </c>
      <c r="Y607" t="s">
        <v>40</v>
      </c>
      <c r="Z607" t="s">
        <v>53</v>
      </c>
      <c r="AA607" t="s">
        <v>51</v>
      </c>
      <c r="AB607" t="s">
        <v>1167</v>
      </c>
      <c r="AC607" t="s">
        <v>1420</v>
      </c>
      <c r="AF607" t="s">
        <v>1437</v>
      </c>
      <c r="AG607" t="s">
        <v>58</v>
      </c>
      <c r="BX607" t="s">
        <v>1250</v>
      </c>
    </row>
    <row r="608" spans="1:104" hidden="1">
      <c r="A608" s="32" t="s">
        <v>1251</v>
      </c>
      <c r="B608" s="32" t="s">
        <v>83</v>
      </c>
      <c r="C608" s="23">
        <v>1</v>
      </c>
      <c r="D608" s="23">
        <v>88500</v>
      </c>
      <c r="E608" s="23">
        <v>48</v>
      </c>
      <c r="F608" s="23">
        <v>0.151</v>
      </c>
      <c r="G608" s="23" t="s">
        <v>89</v>
      </c>
      <c r="H608" s="23">
        <v>70</v>
      </c>
      <c r="I608" s="23" t="s">
        <v>85</v>
      </c>
      <c r="J608" s="23">
        <v>50</v>
      </c>
      <c r="K608" s="23" t="s">
        <v>256</v>
      </c>
      <c r="L608" s="23">
        <v>500173</v>
      </c>
      <c r="M608" s="23"/>
      <c r="N608" s="23"/>
      <c r="O608" s="23"/>
      <c r="P608" s="23"/>
      <c r="Q608" s="23"/>
      <c r="R608" s="23"/>
      <c r="S608" s="23" t="s">
        <v>64</v>
      </c>
      <c r="T608" s="23"/>
      <c r="U608" s="23" t="s">
        <v>87</v>
      </c>
      <c r="V608" s="23"/>
      <c r="W608" s="33">
        <v>0</v>
      </c>
      <c r="Y608" t="s">
        <v>161</v>
      </c>
      <c r="Z608" t="s">
        <v>53</v>
      </c>
      <c r="AA608" t="s">
        <v>51</v>
      </c>
      <c r="AB608" t="s">
        <v>1167</v>
      </c>
      <c r="AC608" t="s">
        <v>1420</v>
      </c>
      <c r="AF608" t="s">
        <v>1437</v>
      </c>
      <c r="AG608" t="s">
        <v>58</v>
      </c>
      <c r="AI608" t="str">
        <f>BY608&amp;"_"&amp;CB608&amp;"_"&amp;L608&amp;"_p"&amp;C608&amp;"_"&amp;E608&amp;"st_"&amp;AK608&amp;"_"&amp;RIGHT(AG608,4)&amp;"_"&amp;AL608</f>
        <v>4_S235_500173_p1_48st__2050_</v>
      </c>
      <c r="AM608" t="s">
        <v>1673</v>
      </c>
      <c r="AZ608" s="64" t="s">
        <v>1659</v>
      </c>
      <c r="BA608" s="64" t="s">
        <v>1660</v>
      </c>
      <c r="BX608" t="s">
        <v>1691</v>
      </c>
      <c r="BY608">
        <v>4</v>
      </c>
      <c r="BZ608" t="s">
        <v>1692</v>
      </c>
      <c r="CA608" t="s">
        <v>1736</v>
      </c>
      <c r="CB608" t="s">
        <v>1895</v>
      </c>
      <c r="CG608">
        <v>4</v>
      </c>
      <c r="CH608" t="s">
        <v>1895</v>
      </c>
      <c r="CI608">
        <v>500173</v>
      </c>
      <c r="CJ608" t="s">
        <v>1898</v>
      </c>
      <c r="CK608" t="s">
        <v>1920</v>
      </c>
      <c r="CL608" t="s">
        <v>1900</v>
      </c>
      <c r="CM608">
        <v>766</v>
      </c>
      <c r="CR608" t="s">
        <v>2068</v>
      </c>
    </row>
    <row r="609" spans="1:104" hidden="1">
      <c r="A609" s="32" t="s">
        <v>1252</v>
      </c>
      <c r="B609" s="32" t="s">
        <v>79</v>
      </c>
      <c r="C609" s="23">
        <v>2</v>
      </c>
      <c r="D609" s="23">
        <v>24398400</v>
      </c>
      <c r="E609" s="23">
        <v>96</v>
      </c>
      <c r="F609" s="23"/>
      <c r="G609" s="23" t="s">
        <v>52</v>
      </c>
      <c r="H609" s="23" t="s">
        <v>334</v>
      </c>
      <c r="I609" s="23"/>
      <c r="J609" s="23"/>
      <c r="K609" s="23" t="s">
        <v>335</v>
      </c>
      <c r="L609" s="23">
        <v>500173</v>
      </c>
      <c r="M609" s="23"/>
      <c r="N609" s="23"/>
      <c r="O609" s="23"/>
      <c r="P609" s="23"/>
      <c r="Q609" s="23"/>
      <c r="R609" s="23"/>
      <c r="S609" s="23" t="s">
        <v>64</v>
      </c>
      <c r="T609" s="23"/>
      <c r="U609" s="23" t="s">
        <v>17</v>
      </c>
      <c r="V609" s="23"/>
      <c r="W609" s="33">
        <v>5.0000000000000001E-3</v>
      </c>
      <c r="Y609" t="s">
        <v>124</v>
      </c>
      <c r="Z609" t="s">
        <v>53</v>
      </c>
      <c r="AA609" t="s">
        <v>51</v>
      </c>
      <c r="AB609" t="s">
        <v>1167</v>
      </c>
      <c r="AF609" t="s">
        <v>1437</v>
      </c>
      <c r="AG609" t="s">
        <v>58</v>
      </c>
      <c r="BX609" t="s">
        <v>1717</v>
      </c>
      <c r="BY609" t="s">
        <v>334</v>
      </c>
      <c r="BZ609" t="s">
        <v>1718</v>
      </c>
      <c r="CA609">
        <v>8</v>
      </c>
      <c r="CB609" t="s">
        <v>1740</v>
      </c>
    </row>
    <row r="610" spans="1:104" hidden="1">
      <c r="A610" s="32" t="s">
        <v>1253</v>
      </c>
      <c r="B610" s="32" t="s">
        <v>79</v>
      </c>
      <c r="C610" s="23">
        <v>3</v>
      </c>
      <c r="D610" s="23">
        <v>25396900</v>
      </c>
      <c r="E610" s="23">
        <v>48</v>
      </c>
      <c r="F610" s="23"/>
      <c r="G610" s="23" t="s">
        <v>52</v>
      </c>
      <c r="H610" s="23" t="s">
        <v>1254</v>
      </c>
      <c r="I610" s="23"/>
      <c r="J610" s="23"/>
      <c r="K610" s="23" t="s">
        <v>1255</v>
      </c>
      <c r="L610" s="23">
        <v>500173</v>
      </c>
      <c r="M610" s="23"/>
      <c r="N610" s="23"/>
      <c r="O610" s="23"/>
      <c r="P610" s="23"/>
      <c r="Q610" s="23"/>
      <c r="R610" s="23"/>
      <c r="S610" s="23" t="s">
        <v>64</v>
      </c>
      <c r="T610" s="23"/>
      <c r="U610" s="23" t="s">
        <v>17</v>
      </c>
      <c r="V610" s="23"/>
      <c r="W610" s="33">
        <v>1.7000000000000001E-2</v>
      </c>
      <c r="Y610" t="s">
        <v>124</v>
      </c>
      <c r="Z610" t="s">
        <v>53</v>
      </c>
      <c r="AA610" t="s">
        <v>51</v>
      </c>
      <c r="AB610" t="s">
        <v>1167</v>
      </c>
      <c r="AF610" t="s">
        <v>1437</v>
      </c>
      <c r="AG610" t="s">
        <v>58</v>
      </c>
      <c r="BX610" t="s">
        <v>1713</v>
      </c>
      <c r="BY610" t="s">
        <v>1836</v>
      </c>
      <c r="BZ610" t="s">
        <v>1714</v>
      </c>
      <c r="CA610" s="76">
        <v>46242</v>
      </c>
      <c r="CB610" t="s">
        <v>1740</v>
      </c>
    </row>
    <row r="611" spans="1:104" hidden="1">
      <c r="A611" s="29" t="s">
        <v>1256</v>
      </c>
      <c r="B611" s="29" t="s">
        <v>74</v>
      </c>
      <c r="C611" s="30">
        <v>11</v>
      </c>
      <c r="D611" s="30" t="s">
        <v>1257</v>
      </c>
      <c r="E611" s="30">
        <v>1</v>
      </c>
      <c r="F611" s="30"/>
      <c r="G611" s="30" t="s">
        <v>52</v>
      </c>
      <c r="H611" s="30"/>
      <c r="I611" s="30"/>
      <c r="J611" s="30"/>
      <c r="K611" s="30" t="s">
        <v>1258</v>
      </c>
      <c r="L611" s="30" t="s">
        <v>1257</v>
      </c>
      <c r="M611" s="30">
        <v>1</v>
      </c>
      <c r="N611" s="30">
        <v>0</v>
      </c>
      <c r="O611" s="23"/>
      <c r="P611" s="23"/>
      <c r="Q611" s="23"/>
      <c r="R611" s="23"/>
      <c r="S611" s="23" t="s">
        <v>64</v>
      </c>
      <c r="T611" s="23"/>
      <c r="U611" s="23" t="s">
        <v>54</v>
      </c>
      <c r="V611" s="23"/>
      <c r="W611" s="31">
        <v>26.606999999999999</v>
      </c>
      <c r="Y611" t="s">
        <v>40</v>
      </c>
      <c r="Z611" t="s">
        <v>53</v>
      </c>
      <c r="AA611" t="s">
        <v>51</v>
      </c>
      <c r="AB611" t="s">
        <v>1167</v>
      </c>
      <c r="AF611" t="s">
        <v>1437</v>
      </c>
      <c r="AG611" t="s">
        <v>58</v>
      </c>
      <c r="BX611" t="s">
        <v>1258</v>
      </c>
    </row>
    <row r="612" spans="1:104" s="79" customFormat="1">
      <c r="A612" s="80" t="s">
        <v>1259</v>
      </c>
      <c r="B612" s="80" t="s">
        <v>79</v>
      </c>
      <c r="C612" s="81">
        <v>1</v>
      </c>
      <c r="D612" s="81">
        <v>88500</v>
      </c>
      <c r="E612" s="81">
        <v>1</v>
      </c>
      <c r="F612" s="81">
        <v>0.27700000000000002</v>
      </c>
      <c r="G612" s="81" t="s">
        <v>89</v>
      </c>
      <c r="H612" s="81" t="s">
        <v>1260</v>
      </c>
      <c r="I612" s="81" t="s">
        <v>85</v>
      </c>
      <c r="J612" s="81">
        <v>214</v>
      </c>
      <c r="K612" s="81" t="s">
        <v>256</v>
      </c>
      <c r="L612" s="81" t="s">
        <v>1257</v>
      </c>
      <c r="M612" s="81"/>
      <c r="N612" s="81"/>
      <c r="O612" s="23"/>
      <c r="P612" s="23"/>
      <c r="Q612" s="23"/>
      <c r="R612" s="23"/>
      <c r="S612" s="23" t="s">
        <v>64</v>
      </c>
      <c r="T612" s="23"/>
      <c r="U612" s="23" t="s">
        <v>87</v>
      </c>
      <c r="V612" s="23"/>
      <c r="W612" s="82">
        <v>0</v>
      </c>
      <c r="Y612" s="79" t="s">
        <v>161</v>
      </c>
      <c r="Z612" s="79" t="s">
        <v>53</v>
      </c>
      <c r="AA612" s="79" t="s">
        <v>51</v>
      </c>
      <c r="AB612" s="79" t="s">
        <v>1167</v>
      </c>
      <c r="AF612" s="79" t="s">
        <v>1437</v>
      </c>
      <c r="AG612" s="79" t="s">
        <v>58</v>
      </c>
      <c r="AI612" s="79" t="str">
        <f t="shared" ref="AI612:AI615" si="95">BY612&amp;"_"&amp;CB612&amp;"_"&amp;L612&amp;"_p"&amp;C612&amp;"_"&amp;E612&amp;"st_"&amp;AK612&amp;"_"&amp;RIGHT(AG612,4)&amp;"_"&amp;AL612</f>
        <v>4_S235_SL41085912_p1_1st_G_2050_</v>
      </c>
      <c r="AK612" s="79" t="s">
        <v>1900</v>
      </c>
      <c r="AM612" s="79" t="s">
        <v>1675</v>
      </c>
      <c r="AO612"/>
      <c r="AP612"/>
      <c r="AQ612"/>
      <c r="AR612"/>
      <c r="AS612"/>
      <c r="AT612"/>
      <c r="AU612"/>
      <c r="AV612"/>
      <c r="AW612"/>
      <c r="AX612"/>
      <c r="AY612"/>
      <c r="AZ612" s="83" t="s">
        <v>1661</v>
      </c>
      <c r="BA612" s="83" t="s">
        <v>1662</v>
      </c>
      <c r="BX612" s="79" t="s">
        <v>1691</v>
      </c>
      <c r="BY612" s="79">
        <v>4</v>
      </c>
      <c r="BZ612" s="79" t="s">
        <v>1692</v>
      </c>
      <c r="CA612" s="79" t="s">
        <v>1736</v>
      </c>
      <c r="CB612" s="79" t="s">
        <v>1895</v>
      </c>
      <c r="CG612" s="79">
        <v>4</v>
      </c>
      <c r="CH612" s="79" t="s">
        <v>1895</v>
      </c>
      <c r="CI612" s="79" t="s">
        <v>1257</v>
      </c>
      <c r="CJ612" s="79" t="s">
        <v>1898</v>
      </c>
      <c r="CK612" s="79" t="s">
        <v>1934</v>
      </c>
      <c r="CL612" s="79" t="s">
        <v>1900</v>
      </c>
      <c r="CM612" s="79">
        <v>42025</v>
      </c>
      <c r="CR612" s="79" t="s">
        <v>2069</v>
      </c>
      <c r="CT612" s="79" t="s">
        <v>1900</v>
      </c>
    </row>
    <row r="613" spans="1:104">
      <c r="A613" s="32" t="s">
        <v>1261</v>
      </c>
      <c r="B613" s="32" t="s">
        <v>79</v>
      </c>
      <c r="C613" s="23">
        <v>2</v>
      </c>
      <c r="D613" s="23">
        <v>88500</v>
      </c>
      <c r="E613" s="23">
        <v>1</v>
      </c>
      <c r="F613" s="23">
        <v>0.27400000000000002</v>
      </c>
      <c r="G613" s="23" t="s">
        <v>89</v>
      </c>
      <c r="H613" s="23" t="s">
        <v>1262</v>
      </c>
      <c r="I613" s="23" t="s">
        <v>85</v>
      </c>
      <c r="J613" s="23">
        <v>234</v>
      </c>
      <c r="K613" s="23" t="s">
        <v>256</v>
      </c>
      <c r="L613" s="23" t="s">
        <v>1257</v>
      </c>
      <c r="M613" s="23"/>
      <c r="N613" s="23"/>
      <c r="O613" s="23"/>
      <c r="P613" s="23"/>
      <c r="Q613" s="23"/>
      <c r="R613" s="23"/>
      <c r="S613" s="23" t="s">
        <v>64</v>
      </c>
      <c r="T613" s="23"/>
      <c r="U613" s="23" t="s">
        <v>87</v>
      </c>
      <c r="V613" s="23"/>
      <c r="W613" s="33">
        <v>0</v>
      </c>
      <c r="Y613" t="s">
        <v>161</v>
      </c>
      <c r="Z613" t="s">
        <v>53</v>
      </c>
      <c r="AA613" t="s">
        <v>51</v>
      </c>
      <c r="AB613" t="s">
        <v>1167</v>
      </c>
      <c r="AF613" t="s">
        <v>1437</v>
      </c>
      <c r="AG613" t="s">
        <v>58</v>
      </c>
      <c r="AI613" t="str">
        <f t="shared" si="95"/>
        <v>4_S235_SL41085912_p2_1st_G_2050_P</v>
      </c>
      <c r="AJ613" t="s">
        <v>1430</v>
      </c>
      <c r="AK613" t="str">
        <f t="shared" ref="AK613:AK614" si="96">CT613</f>
        <v>G</v>
      </c>
      <c r="AL613" t="str">
        <f t="shared" ref="AL613:AL614" si="97">CU613</f>
        <v>P</v>
      </c>
      <c r="AM613" t="s">
        <v>1674</v>
      </c>
      <c r="AZ613" s="64" t="s">
        <v>1663</v>
      </c>
      <c r="BA613" s="64" t="s">
        <v>1664</v>
      </c>
      <c r="BX613" t="s">
        <v>1691</v>
      </c>
      <c r="BY613">
        <v>4</v>
      </c>
      <c r="BZ613" t="s">
        <v>1692</v>
      </c>
      <c r="CA613" t="s">
        <v>1736</v>
      </c>
      <c r="CB613" t="s">
        <v>1895</v>
      </c>
      <c r="CG613">
        <v>4</v>
      </c>
      <c r="CH613" t="s">
        <v>1895</v>
      </c>
      <c r="CI613" t="s">
        <v>1257</v>
      </c>
      <c r="CJ613" t="s">
        <v>1935</v>
      </c>
      <c r="CK613" t="s">
        <v>1934</v>
      </c>
      <c r="CL613" t="s">
        <v>1903</v>
      </c>
      <c r="CM613">
        <v>42025</v>
      </c>
      <c r="CR613" t="s">
        <v>2070</v>
      </c>
      <c r="CS613" t="s">
        <v>1430</v>
      </c>
      <c r="CT613" t="s">
        <v>1900</v>
      </c>
      <c r="CU613" t="s">
        <v>1910</v>
      </c>
      <c r="CW613" t="b">
        <f t="shared" ref="CW613:CW614" si="98">AI613=CR613</f>
        <v>1</v>
      </c>
      <c r="CX613" t="b">
        <f t="shared" ref="CX613:CX614" si="99">AJ613=CS613</f>
        <v>1</v>
      </c>
      <c r="CY613" t="b">
        <f t="shared" ref="CY613:CY614" si="100">AK613=CT613</f>
        <v>1</v>
      </c>
      <c r="CZ613" t="b">
        <f t="shared" ref="CZ613:CZ614" si="101">AL613=CU613</f>
        <v>1</v>
      </c>
    </row>
    <row r="614" spans="1:104">
      <c r="A614" s="32" t="s">
        <v>1263</v>
      </c>
      <c r="B614" s="32" t="s">
        <v>79</v>
      </c>
      <c r="C614" s="23">
        <v>3</v>
      </c>
      <c r="D614" s="23">
        <v>88500</v>
      </c>
      <c r="E614" s="23">
        <v>1</v>
      </c>
      <c r="F614" s="23">
        <v>0.27400000000000002</v>
      </c>
      <c r="G614" s="23" t="s">
        <v>89</v>
      </c>
      <c r="H614" s="23" t="s">
        <v>1262</v>
      </c>
      <c r="I614" s="23" t="s">
        <v>85</v>
      </c>
      <c r="J614" s="23">
        <v>234</v>
      </c>
      <c r="K614" s="23" t="s">
        <v>256</v>
      </c>
      <c r="L614" s="23" t="s">
        <v>1257</v>
      </c>
      <c r="M614" s="23"/>
      <c r="N614" s="23"/>
      <c r="O614" s="23"/>
      <c r="P614" s="23"/>
      <c r="Q614" s="23"/>
      <c r="R614" s="23"/>
      <c r="S614" s="23" t="s">
        <v>64</v>
      </c>
      <c r="T614" s="23"/>
      <c r="U614" s="23" t="s">
        <v>87</v>
      </c>
      <c r="V614" s="23"/>
      <c r="W614" s="33">
        <v>0</v>
      </c>
      <c r="Y614" t="s">
        <v>161</v>
      </c>
      <c r="Z614" t="s">
        <v>53</v>
      </c>
      <c r="AA614" t="s">
        <v>51</v>
      </c>
      <c r="AB614" t="s">
        <v>1167</v>
      </c>
      <c r="AF614" t="s">
        <v>1437</v>
      </c>
      <c r="AG614" t="s">
        <v>58</v>
      </c>
      <c r="AI614" t="str">
        <f t="shared" si="95"/>
        <v>4_S235_SL41085912_p3_1st_G_2050_L</v>
      </c>
      <c r="AJ614" t="s">
        <v>1429</v>
      </c>
      <c r="AK614" t="str">
        <f t="shared" si="96"/>
        <v>G</v>
      </c>
      <c r="AL614" t="str">
        <f t="shared" si="97"/>
        <v>L</v>
      </c>
      <c r="AM614" t="s">
        <v>1674</v>
      </c>
      <c r="AZ614" s="64" t="s">
        <v>1665</v>
      </c>
      <c r="BA614" s="64" t="s">
        <v>1666</v>
      </c>
      <c r="BX614" t="s">
        <v>1691</v>
      </c>
      <c r="BY614">
        <v>4</v>
      </c>
      <c r="BZ614" t="s">
        <v>1692</v>
      </c>
      <c r="CA614" t="s">
        <v>1736</v>
      </c>
      <c r="CB614" t="s">
        <v>1895</v>
      </c>
      <c r="CG614">
        <v>4</v>
      </c>
      <c r="CH614" t="s">
        <v>1895</v>
      </c>
      <c r="CI614" t="s">
        <v>1257</v>
      </c>
      <c r="CJ614" t="s">
        <v>1936</v>
      </c>
      <c r="CK614" t="s">
        <v>1934</v>
      </c>
      <c r="CL614" t="s">
        <v>1903</v>
      </c>
      <c r="CM614">
        <v>42025</v>
      </c>
      <c r="CR614" t="s">
        <v>2071</v>
      </c>
      <c r="CS614" t="s">
        <v>1429</v>
      </c>
      <c r="CT614" t="s">
        <v>1900</v>
      </c>
      <c r="CU614" t="s">
        <v>54</v>
      </c>
      <c r="CW614" t="b">
        <f t="shared" si="98"/>
        <v>1</v>
      </c>
      <c r="CX614" t="b">
        <f t="shared" si="99"/>
        <v>1</v>
      </c>
      <c r="CY614" t="b">
        <f t="shared" si="100"/>
        <v>1</v>
      </c>
      <c r="CZ614" t="b">
        <f t="shared" si="101"/>
        <v>1</v>
      </c>
    </row>
    <row r="615" spans="1:104" s="79" customFormat="1">
      <c r="A615" s="80" t="s">
        <v>1264</v>
      </c>
      <c r="B615" s="80" t="s">
        <v>79</v>
      </c>
      <c r="C615" s="81">
        <v>4</v>
      </c>
      <c r="D615" s="81">
        <v>88500</v>
      </c>
      <c r="E615" s="81">
        <v>6</v>
      </c>
      <c r="F615" s="81">
        <v>3.7999999999999999E-2</v>
      </c>
      <c r="G615" s="81" t="s">
        <v>89</v>
      </c>
      <c r="H615" s="81">
        <v>112</v>
      </c>
      <c r="I615" s="81" t="s">
        <v>85</v>
      </c>
      <c r="J615" s="81">
        <v>55</v>
      </c>
      <c r="K615" s="81" t="s">
        <v>256</v>
      </c>
      <c r="L615" s="81" t="s">
        <v>1257</v>
      </c>
      <c r="M615" s="81"/>
      <c r="N615" s="81"/>
      <c r="O615" s="23"/>
      <c r="P615" s="23"/>
      <c r="Q615" s="23"/>
      <c r="R615" s="23"/>
      <c r="S615" s="23" t="s">
        <v>64</v>
      </c>
      <c r="T615" s="23"/>
      <c r="U615" s="23" t="s">
        <v>87</v>
      </c>
      <c r="V615" s="23"/>
      <c r="W615" s="82">
        <v>0</v>
      </c>
      <c r="Y615" s="79" t="s">
        <v>161</v>
      </c>
      <c r="Z615" s="79" t="s">
        <v>53</v>
      </c>
      <c r="AA615" s="79" t="s">
        <v>51</v>
      </c>
      <c r="AB615" s="79" t="s">
        <v>1167</v>
      </c>
      <c r="AF615" s="79" t="s">
        <v>1437</v>
      </c>
      <c r="AG615" s="79" t="s">
        <v>58</v>
      </c>
      <c r="AI615" s="79" t="str">
        <f t="shared" si="95"/>
        <v>4_S235_SL41085912_p4_6st_S_2050_</v>
      </c>
      <c r="AK615" s="79" t="s">
        <v>19</v>
      </c>
      <c r="AM615" s="79" t="s">
        <v>1675</v>
      </c>
      <c r="AO615"/>
      <c r="AP615"/>
      <c r="AQ615"/>
      <c r="AR615"/>
      <c r="AS615"/>
      <c r="AT615"/>
      <c r="AU615"/>
      <c r="AV615"/>
      <c r="AW615"/>
      <c r="AX615"/>
      <c r="AY615"/>
      <c r="AZ615" s="83" t="s">
        <v>1667</v>
      </c>
      <c r="BA615" s="83" t="s">
        <v>1668</v>
      </c>
      <c r="BX615" s="79" t="s">
        <v>1691</v>
      </c>
      <c r="BY615" s="79">
        <v>4</v>
      </c>
      <c r="BZ615" s="79" t="s">
        <v>1692</v>
      </c>
      <c r="CA615" s="79" t="s">
        <v>1736</v>
      </c>
      <c r="CB615" s="79" t="s">
        <v>1895</v>
      </c>
      <c r="CG615" s="79">
        <v>4</v>
      </c>
      <c r="CH615" s="79" t="s">
        <v>1895</v>
      </c>
      <c r="CI615" s="79" t="s">
        <v>1257</v>
      </c>
      <c r="CJ615" s="79" t="s">
        <v>1911</v>
      </c>
      <c r="CK615" s="79" t="s">
        <v>1937</v>
      </c>
      <c r="CL615" s="79" t="s">
        <v>19</v>
      </c>
      <c r="CM615" s="79">
        <v>42025</v>
      </c>
      <c r="CR615" s="79" t="s">
        <v>2072</v>
      </c>
      <c r="CT615" s="79" t="s">
        <v>19</v>
      </c>
    </row>
    <row r="616" spans="1:104" hidden="1">
      <c r="A616" s="32" t="s">
        <v>1265</v>
      </c>
      <c r="B616" s="32" t="s">
        <v>79</v>
      </c>
      <c r="C616" s="23">
        <v>101</v>
      </c>
      <c r="D616" s="23">
        <v>24651200</v>
      </c>
      <c r="E616" s="23">
        <v>16</v>
      </c>
      <c r="F616" s="23"/>
      <c r="G616" s="23" t="s">
        <v>52</v>
      </c>
      <c r="H616" s="23" t="s">
        <v>656</v>
      </c>
      <c r="I616" s="23"/>
      <c r="J616" s="23"/>
      <c r="K616" s="23" t="s">
        <v>657</v>
      </c>
      <c r="L616" s="23" t="s">
        <v>1257</v>
      </c>
      <c r="M616" s="23"/>
      <c r="N616" s="23"/>
      <c r="O616" s="23"/>
      <c r="P616" s="23"/>
      <c r="Q616" s="23"/>
      <c r="R616" s="23"/>
      <c r="S616" s="23" t="s">
        <v>64</v>
      </c>
      <c r="T616" s="23"/>
      <c r="U616" s="23" t="s">
        <v>17</v>
      </c>
      <c r="V616" s="23"/>
      <c r="W616" s="33">
        <v>2.5000000000000001E-2</v>
      </c>
      <c r="Y616" t="s">
        <v>124</v>
      </c>
      <c r="Z616" t="s">
        <v>53</v>
      </c>
      <c r="AA616" t="s">
        <v>51</v>
      </c>
      <c r="AB616" t="s">
        <v>1167</v>
      </c>
      <c r="AF616" t="s">
        <v>1437</v>
      </c>
      <c r="AG616" t="s">
        <v>58</v>
      </c>
      <c r="BX616" t="s">
        <v>1713</v>
      </c>
      <c r="BY616" t="s">
        <v>656</v>
      </c>
      <c r="BZ616" t="s">
        <v>1714</v>
      </c>
      <c r="CA616" s="76">
        <v>46242</v>
      </c>
      <c r="CB616" t="s">
        <v>1740</v>
      </c>
    </row>
    <row r="617" spans="1:104" hidden="1">
      <c r="A617" s="32" t="s">
        <v>1266</v>
      </c>
      <c r="B617" s="32" t="s">
        <v>79</v>
      </c>
      <c r="C617" s="23">
        <v>102</v>
      </c>
      <c r="D617" s="23">
        <v>24398500</v>
      </c>
      <c r="E617" s="23">
        <v>16</v>
      </c>
      <c r="F617" s="23"/>
      <c r="G617" s="23" t="s">
        <v>52</v>
      </c>
      <c r="H617" s="23" t="s">
        <v>229</v>
      </c>
      <c r="I617" s="23"/>
      <c r="J617" s="23"/>
      <c r="K617" s="23" t="s">
        <v>230</v>
      </c>
      <c r="L617" s="23" t="s">
        <v>1257</v>
      </c>
      <c r="M617" s="23"/>
      <c r="N617" s="23"/>
      <c r="O617" s="23"/>
      <c r="P617" s="23"/>
      <c r="Q617" s="23"/>
      <c r="R617" s="23"/>
      <c r="S617" s="23" t="s">
        <v>64</v>
      </c>
      <c r="T617" s="23"/>
      <c r="U617" s="23" t="s">
        <v>17</v>
      </c>
      <c r="V617" s="23"/>
      <c r="W617" s="33">
        <v>7.0000000000000001E-3</v>
      </c>
      <c r="Y617" t="s">
        <v>124</v>
      </c>
      <c r="Z617" t="s">
        <v>53</v>
      </c>
      <c r="AA617" t="s">
        <v>51</v>
      </c>
      <c r="AB617" t="s">
        <v>1167</v>
      </c>
      <c r="AF617" t="s">
        <v>1437</v>
      </c>
      <c r="AG617" t="s">
        <v>58</v>
      </c>
      <c r="BX617" t="s">
        <v>1717</v>
      </c>
      <c r="BY617" t="s">
        <v>229</v>
      </c>
      <c r="BZ617" t="s">
        <v>1718</v>
      </c>
      <c r="CA617">
        <v>8</v>
      </c>
      <c r="CB617" t="s">
        <v>1740</v>
      </c>
    </row>
    <row r="618" spans="1:104" hidden="1">
      <c r="A618" s="32" t="s">
        <v>1267</v>
      </c>
      <c r="B618" s="32" t="s">
        <v>79</v>
      </c>
      <c r="C618" s="23">
        <v>103</v>
      </c>
      <c r="D618" s="23">
        <v>24389600</v>
      </c>
      <c r="E618" s="23">
        <v>32</v>
      </c>
      <c r="F618" s="23"/>
      <c r="G618" s="23" t="s">
        <v>52</v>
      </c>
      <c r="H618" s="23">
        <v>10.5</v>
      </c>
      <c r="I618" s="23"/>
      <c r="J618" s="23"/>
      <c r="K618" s="23" t="s">
        <v>232</v>
      </c>
      <c r="L618" s="23" t="s">
        <v>1257</v>
      </c>
      <c r="M618" s="23"/>
      <c r="N618" s="23"/>
      <c r="O618" s="23"/>
      <c r="P618" s="23"/>
      <c r="Q618" s="23"/>
      <c r="R618" s="23"/>
      <c r="S618" s="23" t="s">
        <v>64</v>
      </c>
      <c r="T618" s="23"/>
      <c r="U618" s="23" t="s">
        <v>17</v>
      </c>
      <c r="V618" s="23"/>
      <c r="W618" s="33">
        <v>4.0000000000000001E-3</v>
      </c>
      <c r="Y618" t="s">
        <v>124</v>
      </c>
      <c r="Z618" t="s">
        <v>53</v>
      </c>
      <c r="AA618" t="s">
        <v>51</v>
      </c>
      <c r="AB618" t="s">
        <v>1167</v>
      </c>
      <c r="AF618" t="s">
        <v>1437</v>
      </c>
      <c r="AG618" t="s">
        <v>58</v>
      </c>
      <c r="BX618" t="s">
        <v>1719</v>
      </c>
      <c r="BY618">
        <v>10.5</v>
      </c>
      <c r="BZ618" t="s">
        <v>763</v>
      </c>
      <c r="CA618" t="s">
        <v>1720</v>
      </c>
      <c r="CB618" t="s">
        <v>1721</v>
      </c>
    </row>
    <row r="619" spans="1:104" hidden="1">
      <c r="A619" s="29" t="s">
        <v>1268</v>
      </c>
      <c r="B619" s="29" t="s">
        <v>74</v>
      </c>
      <c r="C619" s="30">
        <v>12</v>
      </c>
      <c r="D619" s="30" t="s">
        <v>1269</v>
      </c>
      <c r="E619" s="30">
        <v>1</v>
      </c>
      <c r="F619" s="30"/>
      <c r="G619" s="30" t="s">
        <v>52</v>
      </c>
      <c r="H619" s="30"/>
      <c r="I619" s="30"/>
      <c r="J619" s="30"/>
      <c r="K619" s="30" t="s">
        <v>1270</v>
      </c>
      <c r="L619" s="30" t="s">
        <v>1269</v>
      </c>
      <c r="M619" s="30">
        <v>2</v>
      </c>
      <c r="N619" s="30"/>
      <c r="O619" s="23"/>
      <c r="P619" s="23"/>
      <c r="Q619" s="23"/>
      <c r="R619" s="23"/>
      <c r="S619" s="23"/>
      <c r="T619" s="23"/>
      <c r="U619" s="23" t="s">
        <v>54</v>
      </c>
      <c r="V619" s="23"/>
      <c r="W619" s="31">
        <v>51.000999999999998</v>
      </c>
      <c r="Y619" t="s">
        <v>40</v>
      </c>
      <c r="Z619" t="s">
        <v>53</v>
      </c>
      <c r="AA619" t="s">
        <v>51</v>
      </c>
      <c r="AB619" t="s">
        <v>1167</v>
      </c>
      <c r="AF619" t="s">
        <v>1437</v>
      </c>
      <c r="AG619" t="s">
        <v>58</v>
      </c>
      <c r="BX619" t="s">
        <v>1270</v>
      </c>
    </row>
    <row r="620" spans="1:104" hidden="1">
      <c r="A620" s="29" t="s">
        <v>1271</v>
      </c>
      <c r="B620" s="29" t="s">
        <v>79</v>
      </c>
      <c r="C620" s="30">
        <v>1</v>
      </c>
      <c r="D620" s="30" t="s">
        <v>1272</v>
      </c>
      <c r="E620" s="30">
        <v>1</v>
      </c>
      <c r="F620" s="30"/>
      <c r="G620" s="30" t="s">
        <v>52</v>
      </c>
      <c r="H620" s="30"/>
      <c r="I620" s="30"/>
      <c r="J620" s="30"/>
      <c r="K620" s="30" t="s">
        <v>1273</v>
      </c>
      <c r="L620" s="30" t="s">
        <v>1272</v>
      </c>
      <c r="M620" s="30">
        <v>2</v>
      </c>
      <c r="N620" s="30"/>
      <c r="O620" s="23"/>
      <c r="P620" s="23"/>
      <c r="Q620" s="23"/>
      <c r="R620" s="23"/>
      <c r="S620" s="23"/>
      <c r="T620" s="23"/>
      <c r="U620" s="23" t="s">
        <v>54</v>
      </c>
      <c r="V620" s="23"/>
      <c r="W620" s="31">
        <v>50.521000000000001</v>
      </c>
      <c r="Y620" t="s">
        <v>40</v>
      </c>
      <c r="Z620" t="s">
        <v>53</v>
      </c>
      <c r="AA620" t="s">
        <v>51</v>
      </c>
      <c r="AB620" t="s">
        <v>1167</v>
      </c>
      <c r="AF620" t="s">
        <v>1437</v>
      </c>
      <c r="AG620" t="s">
        <v>58</v>
      </c>
      <c r="BX620" t="s">
        <v>1273</v>
      </c>
    </row>
    <row r="621" spans="1:104">
      <c r="A621" s="32" t="s">
        <v>1274</v>
      </c>
      <c r="B621" s="32" t="s">
        <v>83</v>
      </c>
      <c r="C621" s="23">
        <v>1</v>
      </c>
      <c r="D621" s="23">
        <v>4047600</v>
      </c>
      <c r="E621" s="23">
        <v>1</v>
      </c>
      <c r="F621" s="23">
        <v>1.871</v>
      </c>
      <c r="G621" s="23" t="s">
        <v>89</v>
      </c>
      <c r="H621" s="23" t="s">
        <v>1275</v>
      </c>
      <c r="I621" s="23" t="s">
        <v>85</v>
      </c>
      <c r="J621" s="23" t="s">
        <v>1276</v>
      </c>
      <c r="K621" s="23" t="s">
        <v>795</v>
      </c>
      <c r="L621" s="23" t="s">
        <v>1272</v>
      </c>
      <c r="M621" s="23"/>
      <c r="N621" s="23"/>
      <c r="O621" s="23"/>
      <c r="P621" s="23"/>
      <c r="Q621" s="23"/>
      <c r="R621" s="23"/>
      <c r="S621" s="23" t="s">
        <v>64</v>
      </c>
      <c r="T621" s="23"/>
      <c r="U621" s="23" t="s">
        <v>87</v>
      </c>
      <c r="V621" s="23"/>
      <c r="W621" s="33">
        <v>0</v>
      </c>
      <c r="Y621" t="s">
        <v>161</v>
      </c>
      <c r="Z621" t="s">
        <v>53</v>
      </c>
      <c r="AA621" t="s">
        <v>51</v>
      </c>
      <c r="AB621" t="s">
        <v>1167</v>
      </c>
      <c r="AC621" t="s">
        <v>1428</v>
      </c>
      <c r="AF621" t="s">
        <v>1437</v>
      </c>
      <c r="AG621" t="s">
        <v>58</v>
      </c>
      <c r="AI621" t="str">
        <f t="shared" ref="AI621:AI622" si="102">BY621&amp;"_"&amp;CB621&amp;"_"&amp;L621&amp;"_p"&amp;C621&amp;"_"&amp;E621&amp;"st_"&amp;AK621&amp;"_"&amp;RIGHT(AG621,4)&amp;"_"&amp;AL621</f>
        <v>3_S235_SL10585163_p1_1st_G_2050_</v>
      </c>
      <c r="AK621" t="str">
        <f t="shared" ref="AK621:AK622" si="103">CT621</f>
        <v>G</v>
      </c>
      <c r="AM621" t="s">
        <v>1674</v>
      </c>
      <c r="AZ621" s="64" t="s">
        <v>1669</v>
      </c>
      <c r="BX621" t="s">
        <v>1691</v>
      </c>
      <c r="BY621">
        <v>3</v>
      </c>
      <c r="BZ621" t="s">
        <v>1692</v>
      </c>
      <c r="CA621" t="s">
        <v>1693</v>
      </c>
      <c r="CB621" t="s">
        <v>1895</v>
      </c>
      <c r="CR621" t="s">
        <v>2073</v>
      </c>
      <c r="CT621" t="s">
        <v>1900</v>
      </c>
      <c r="CW621" t="b">
        <f t="shared" ref="CW621:CW622" si="104">AI621=CR621</f>
        <v>1</v>
      </c>
      <c r="CX621" t="b">
        <f t="shared" ref="CX621:CX622" si="105">AJ621=CS621</f>
        <v>1</v>
      </c>
      <c r="CY621" t="b">
        <f t="shared" ref="CY621:CY622" si="106">AK621=CT621</f>
        <v>1</v>
      </c>
      <c r="CZ621" t="b">
        <f t="shared" ref="CZ621:CZ622" si="107">AL621=CU621</f>
        <v>1</v>
      </c>
    </row>
    <row r="622" spans="1:104">
      <c r="A622" s="32" t="s">
        <v>1277</v>
      </c>
      <c r="B622" s="32" t="s">
        <v>83</v>
      </c>
      <c r="C622" s="23">
        <v>2</v>
      </c>
      <c r="D622" s="23">
        <v>4047600</v>
      </c>
      <c r="E622" s="23">
        <v>1</v>
      </c>
      <c r="F622" s="23">
        <v>0.36099999999999999</v>
      </c>
      <c r="G622" s="23" t="s">
        <v>89</v>
      </c>
      <c r="H622" s="23">
        <v>294</v>
      </c>
      <c r="I622" s="23" t="s">
        <v>85</v>
      </c>
      <c r="J622" s="23" t="s">
        <v>1278</v>
      </c>
      <c r="K622" s="23" t="s">
        <v>795</v>
      </c>
      <c r="L622" s="23" t="s">
        <v>1272</v>
      </c>
      <c r="M622" s="23"/>
      <c r="N622" s="23"/>
      <c r="O622" s="23"/>
      <c r="P622" s="23"/>
      <c r="Q622" s="23"/>
      <c r="R622" s="23"/>
      <c r="S622" s="23" t="s">
        <v>64</v>
      </c>
      <c r="T622" s="23"/>
      <c r="U622" s="23" t="s">
        <v>87</v>
      </c>
      <c r="V622" s="23"/>
      <c r="W622" s="33">
        <v>0</v>
      </c>
      <c r="Y622" t="s">
        <v>161</v>
      </c>
      <c r="Z622" t="s">
        <v>53</v>
      </c>
      <c r="AA622" t="s">
        <v>51</v>
      </c>
      <c r="AB622" t="s">
        <v>1167</v>
      </c>
      <c r="AC622" t="s">
        <v>1428</v>
      </c>
      <c r="AF622" t="s">
        <v>1437</v>
      </c>
      <c r="AG622" t="s">
        <v>58</v>
      </c>
      <c r="AI622" t="str">
        <f t="shared" si="102"/>
        <v>3_S235_SL10585163_p2_1st_G_2050_</v>
      </c>
      <c r="AK622" t="str">
        <f t="shared" si="103"/>
        <v>G</v>
      </c>
      <c r="AM622" t="s">
        <v>1674</v>
      </c>
      <c r="AZ622" s="64" t="s">
        <v>1670</v>
      </c>
      <c r="BX622" t="s">
        <v>1691</v>
      </c>
      <c r="BY622">
        <v>3</v>
      </c>
      <c r="BZ622" t="s">
        <v>1692</v>
      </c>
      <c r="CA622" t="s">
        <v>1693</v>
      </c>
      <c r="CB622" t="s">
        <v>1895</v>
      </c>
      <c r="CR622" t="s">
        <v>2074</v>
      </c>
      <c r="CT622" t="s">
        <v>1900</v>
      </c>
      <c r="CW622" t="b">
        <f t="shared" si="104"/>
        <v>1</v>
      </c>
      <c r="CX622" t="b">
        <f t="shared" si="105"/>
        <v>1</v>
      </c>
      <c r="CY622" t="b">
        <f t="shared" si="106"/>
        <v>1</v>
      </c>
      <c r="CZ622" t="b">
        <f t="shared" si="107"/>
        <v>1</v>
      </c>
    </row>
    <row r="623" spans="1:104" hidden="1">
      <c r="A623" s="32" t="s">
        <v>1279</v>
      </c>
      <c r="B623" s="32" t="s">
        <v>79</v>
      </c>
      <c r="C623" s="23">
        <v>101</v>
      </c>
      <c r="D623" s="23">
        <v>24651200</v>
      </c>
      <c r="E623" s="23">
        <v>12</v>
      </c>
      <c r="F623" s="23"/>
      <c r="G623" s="23" t="s">
        <v>52</v>
      </c>
      <c r="H623" s="23" t="s">
        <v>656</v>
      </c>
      <c r="I623" s="23"/>
      <c r="J623" s="23"/>
      <c r="K623" s="23" t="s">
        <v>657</v>
      </c>
      <c r="L623" s="23" t="s">
        <v>1272</v>
      </c>
      <c r="M623" s="23"/>
      <c r="N623" s="23"/>
      <c r="O623" s="23"/>
      <c r="P623" s="23"/>
      <c r="Q623" s="23"/>
      <c r="R623" s="23"/>
      <c r="S623" s="23" t="s">
        <v>64</v>
      </c>
      <c r="T623" s="23"/>
      <c r="U623" s="23" t="s">
        <v>17</v>
      </c>
      <c r="V623" s="23"/>
      <c r="W623" s="33">
        <v>2.5000000000000001E-2</v>
      </c>
      <c r="Y623" t="s">
        <v>124</v>
      </c>
      <c r="Z623" t="s">
        <v>53</v>
      </c>
      <c r="AA623" t="s">
        <v>51</v>
      </c>
      <c r="AB623" t="s">
        <v>1167</v>
      </c>
      <c r="AF623" t="s">
        <v>1437</v>
      </c>
      <c r="AG623" t="s">
        <v>58</v>
      </c>
      <c r="BX623" t="s">
        <v>1713</v>
      </c>
      <c r="BY623" t="s">
        <v>656</v>
      </c>
      <c r="BZ623" t="s">
        <v>1714</v>
      </c>
      <c r="CA623" s="76">
        <v>46242</v>
      </c>
      <c r="CB623" t="s">
        <v>1740</v>
      </c>
    </row>
    <row r="624" spans="1:104" hidden="1">
      <c r="A624" s="32" t="s">
        <v>1280</v>
      </c>
      <c r="B624" s="32" t="s">
        <v>79</v>
      </c>
      <c r="C624" s="23">
        <v>102</v>
      </c>
      <c r="D624" s="23">
        <v>24398500</v>
      </c>
      <c r="E624" s="23">
        <v>12</v>
      </c>
      <c r="F624" s="23"/>
      <c r="G624" s="23" t="s">
        <v>52</v>
      </c>
      <c r="H624" s="23" t="s">
        <v>229</v>
      </c>
      <c r="I624" s="23"/>
      <c r="J624" s="23"/>
      <c r="K624" s="23" t="s">
        <v>230</v>
      </c>
      <c r="L624" s="23" t="s">
        <v>1272</v>
      </c>
      <c r="M624" s="23"/>
      <c r="N624" s="23"/>
      <c r="O624" s="23"/>
      <c r="P624" s="23"/>
      <c r="Q624" s="23"/>
      <c r="R624" s="23"/>
      <c r="S624" s="23" t="s">
        <v>64</v>
      </c>
      <c r="T624" s="23"/>
      <c r="U624" s="23" t="s">
        <v>17</v>
      </c>
      <c r="V624" s="23"/>
      <c r="W624" s="33">
        <v>7.0000000000000001E-3</v>
      </c>
      <c r="Y624" t="s">
        <v>124</v>
      </c>
      <c r="Z624" t="s">
        <v>53</v>
      </c>
      <c r="AA624" t="s">
        <v>51</v>
      </c>
      <c r="AB624" t="s">
        <v>1167</v>
      </c>
      <c r="AF624" t="s">
        <v>1437</v>
      </c>
      <c r="AG624" t="s">
        <v>58</v>
      </c>
      <c r="BX624" t="s">
        <v>1717</v>
      </c>
      <c r="BY624" t="s">
        <v>229</v>
      </c>
      <c r="BZ624" t="s">
        <v>1718</v>
      </c>
      <c r="CA624">
        <v>8</v>
      </c>
      <c r="CB624" t="s">
        <v>1740</v>
      </c>
    </row>
    <row r="625" spans="1:96" hidden="1">
      <c r="A625" s="32" t="s">
        <v>1281</v>
      </c>
      <c r="B625" s="32" t="s">
        <v>79</v>
      </c>
      <c r="C625" s="23">
        <v>103</v>
      </c>
      <c r="D625" s="23">
        <v>5855900</v>
      </c>
      <c r="E625" s="23">
        <v>24</v>
      </c>
      <c r="F625" s="23"/>
      <c r="G625" s="23" t="s">
        <v>52</v>
      </c>
      <c r="H625" s="23"/>
      <c r="I625" s="23"/>
      <c r="J625" s="23"/>
      <c r="K625" s="23" t="s">
        <v>1282</v>
      </c>
      <c r="L625" s="23" t="s">
        <v>1272</v>
      </c>
      <c r="M625" s="23"/>
      <c r="N625" s="23"/>
      <c r="O625" s="23"/>
      <c r="P625" s="23"/>
      <c r="Q625" s="23"/>
      <c r="R625" s="23"/>
      <c r="S625" s="23" t="s">
        <v>64</v>
      </c>
      <c r="T625" s="23"/>
      <c r="U625" s="23" t="s">
        <v>17</v>
      </c>
      <c r="V625" s="23"/>
      <c r="W625" s="33">
        <v>4.0000000000000001E-3</v>
      </c>
      <c r="Y625" t="s">
        <v>124</v>
      </c>
      <c r="Z625" t="s">
        <v>53</v>
      </c>
      <c r="AA625" t="s">
        <v>51</v>
      </c>
      <c r="AB625" t="s">
        <v>1167</v>
      </c>
      <c r="AF625" t="s">
        <v>1437</v>
      </c>
      <c r="AG625" t="s">
        <v>58</v>
      </c>
      <c r="BX625" t="s">
        <v>1719</v>
      </c>
      <c r="BY625">
        <v>10.5</v>
      </c>
      <c r="BZ625" t="s">
        <v>1707</v>
      </c>
      <c r="CA625" t="s">
        <v>1720</v>
      </c>
      <c r="CB625" t="s">
        <v>1837</v>
      </c>
    </row>
    <row r="626" spans="1:96" hidden="1">
      <c r="A626" s="29" t="s">
        <v>1283</v>
      </c>
      <c r="B626" s="29" t="s">
        <v>74</v>
      </c>
      <c r="C626" s="30">
        <v>13</v>
      </c>
      <c r="D626" s="30" t="s">
        <v>1284</v>
      </c>
      <c r="E626" s="30">
        <v>4</v>
      </c>
      <c r="F626" s="30"/>
      <c r="G626" s="30" t="s">
        <v>52</v>
      </c>
      <c r="H626" s="30"/>
      <c r="I626" s="30"/>
      <c r="J626" s="30"/>
      <c r="K626" s="30" t="s">
        <v>1285</v>
      </c>
      <c r="L626" s="30">
        <v>32201</v>
      </c>
      <c r="M626" s="30">
        <v>2</v>
      </c>
      <c r="N626" s="30" t="s">
        <v>64</v>
      </c>
      <c r="O626" s="23"/>
      <c r="P626" s="23"/>
      <c r="Q626" s="23"/>
      <c r="R626" s="23"/>
      <c r="S626" s="23" t="s">
        <v>64</v>
      </c>
      <c r="T626" s="23"/>
      <c r="U626" s="23" t="s">
        <v>54</v>
      </c>
      <c r="V626" s="23"/>
      <c r="W626" s="31">
        <v>4.5339999999999998</v>
      </c>
      <c r="Y626" t="s">
        <v>40</v>
      </c>
      <c r="Z626" t="s">
        <v>53</v>
      </c>
      <c r="AA626" t="s">
        <v>51</v>
      </c>
      <c r="AB626" t="s">
        <v>1167</v>
      </c>
      <c r="AF626" t="s">
        <v>1439</v>
      </c>
      <c r="AG626" t="s">
        <v>58</v>
      </c>
      <c r="BX626" t="s">
        <v>1285</v>
      </c>
    </row>
    <row r="627" spans="1:96" s="79" customFormat="1">
      <c r="A627" s="80" t="s">
        <v>1286</v>
      </c>
      <c r="B627" s="80" t="s">
        <v>79</v>
      </c>
      <c r="C627" s="81">
        <v>1</v>
      </c>
      <c r="D627" s="81">
        <v>2816800</v>
      </c>
      <c r="E627" s="81">
        <v>8</v>
      </c>
      <c r="F627" s="81">
        <v>0.435</v>
      </c>
      <c r="G627" s="81" t="s">
        <v>89</v>
      </c>
      <c r="H627" s="81">
        <v>680</v>
      </c>
      <c r="I627" s="81" t="s">
        <v>85</v>
      </c>
      <c r="J627" s="81">
        <v>80</v>
      </c>
      <c r="K627" s="81" t="s">
        <v>246</v>
      </c>
      <c r="L627" s="81">
        <v>32201</v>
      </c>
      <c r="M627" s="81"/>
      <c r="N627" s="81"/>
      <c r="O627" s="23"/>
      <c r="P627" s="23"/>
      <c r="Q627" s="23"/>
      <c r="R627" s="23"/>
      <c r="S627" s="23" t="s">
        <v>64</v>
      </c>
      <c r="T627" s="23"/>
      <c r="U627" s="23" t="s">
        <v>87</v>
      </c>
      <c r="V627" s="23"/>
      <c r="W627" s="82">
        <v>0</v>
      </c>
      <c r="Y627" s="79" t="s">
        <v>161</v>
      </c>
      <c r="Z627" s="79" t="s">
        <v>53</v>
      </c>
      <c r="AA627" s="79" t="s">
        <v>51</v>
      </c>
      <c r="AB627" s="79" t="s">
        <v>1167</v>
      </c>
      <c r="AF627" s="79" t="s">
        <v>1440</v>
      </c>
      <c r="AG627" s="79" t="s">
        <v>58</v>
      </c>
      <c r="AI627" s="79" t="str">
        <f>BY627&amp;"_"&amp;CB627&amp;"_"&amp;L627&amp;"_p"&amp;C627&amp;"_"&amp;E627&amp;"st_"&amp;AK627&amp;"_"&amp;RIGHT(AG627,4)&amp;"_"&amp;AL627</f>
        <v>3_oc_32201_p1_8st_G_2050_</v>
      </c>
      <c r="AK627" s="79" t="s">
        <v>1900</v>
      </c>
      <c r="AM627" s="79" t="s">
        <v>1674</v>
      </c>
      <c r="AN627"/>
      <c r="AO627"/>
      <c r="AP627"/>
      <c r="AQ627"/>
      <c r="AR627"/>
      <c r="AS627"/>
      <c r="AT627"/>
      <c r="AU627"/>
      <c r="AV627"/>
      <c r="AW627"/>
      <c r="AX627"/>
      <c r="AY627"/>
      <c r="AZ627" s="83" t="s">
        <v>1671</v>
      </c>
      <c r="BA627" s="83" t="s">
        <v>1672</v>
      </c>
      <c r="BX627" s="79" t="s">
        <v>1691</v>
      </c>
      <c r="BY627" s="79">
        <v>3</v>
      </c>
      <c r="BZ627" s="79" t="s">
        <v>1742</v>
      </c>
      <c r="CA627" s="79" t="s">
        <v>1743</v>
      </c>
      <c r="CB627" s="79" t="s">
        <v>1897</v>
      </c>
      <c r="CG627" s="79">
        <v>3</v>
      </c>
      <c r="CH627" s="79" t="s">
        <v>1896</v>
      </c>
      <c r="CI627" s="79">
        <v>32201</v>
      </c>
      <c r="CJ627" s="79" t="s">
        <v>1898</v>
      </c>
      <c r="CK627" s="79" t="s">
        <v>1899</v>
      </c>
      <c r="CM627" s="79">
        <v>6369</v>
      </c>
      <c r="CR627" s="79" t="s">
        <v>2075</v>
      </c>
    </row>
    <row r="628" spans="1:96" hidden="1">
      <c r="A628" s="32" t="s">
        <v>1287</v>
      </c>
      <c r="B628" s="32" t="s">
        <v>79</v>
      </c>
      <c r="C628" s="23">
        <v>2</v>
      </c>
      <c r="D628" s="23" t="s">
        <v>1288</v>
      </c>
      <c r="E628" s="23">
        <v>8</v>
      </c>
      <c r="F628" s="23">
        <v>5.6</v>
      </c>
      <c r="G628" s="23" t="s">
        <v>408</v>
      </c>
      <c r="H628" s="23">
        <v>700</v>
      </c>
      <c r="I628" s="23" t="s">
        <v>85</v>
      </c>
      <c r="J628" s="23">
        <v>0</v>
      </c>
      <c r="K628" s="23" t="s">
        <v>1289</v>
      </c>
      <c r="L628" s="23">
        <v>32201</v>
      </c>
      <c r="M628" s="23"/>
      <c r="N628" s="23"/>
      <c r="O628" s="23"/>
      <c r="P628" s="23"/>
      <c r="Q628" s="23"/>
      <c r="R628" s="23"/>
      <c r="S628" s="23" t="s">
        <v>64</v>
      </c>
      <c r="T628" s="23"/>
      <c r="U628" s="23" t="s">
        <v>17</v>
      </c>
      <c r="V628" s="23"/>
      <c r="W628" s="33">
        <v>1.1000000000000001</v>
      </c>
      <c r="Y628" t="s">
        <v>259</v>
      </c>
      <c r="Z628" t="s">
        <v>53</v>
      </c>
      <c r="AA628" t="s">
        <v>51</v>
      </c>
      <c r="AB628" t="s">
        <v>1167</v>
      </c>
      <c r="AF628" t="s">
        <v>1440</v>
      </c>
      <c r="AG628" t="s">
        <v>58</v>
      </c>
      <c r="BX628" t="s">
        <v>1795</v>
      </c>
      <c r="BY628" t="s">
        <v>1838</v>
      </c>
    </row>
    <row r="629" spans="1:96" hidden="1">
      <c r="A629" s="32" t="s">
        <v>1290</v>
      </c>
      <c r="B629" s="32" t="s">
        <v>79</v>
      </c>
      <c r="C629" s="23">
        <v>3</v>
      </c>
      <c r="D629" s="23">
        <v>24398500</v>
      </c>
      <c r="E629" s="23">
        <v>32</v>
      </c>
      <c r="F629" s="23"/>
      <c r="G629" s="23" t="s">
        <v>52</v>
      </c>
      <c r="H629" s="23" t="s">
        <v>229</v>
      </c>
      <c r="I629" s="23"/>
      <c r="J629" s="23"/>
      <c r="K629" s="23" t="s">
        <v>230</v>
      </c>
      <c r="L629" s="23">
        <v>32201</v>
      </c>
      <c r="M629" s="23"/>
      <c r="N629" s="23"/>
      <c r="O629" s="23"/>
      <c r="P629" s="23"/>
      <c r="Q629" s="23"/>
      <c r="R629" s="23"/>
      <c r="S629" s="23" t="s">
        <v>64</v>
      </c>
      <c r="T629" s="23"/>
      <c r="U629" s="23" t="s">
        <v>17</v>
      </c>
      <c r="V629" s="23"/>
      <c r="W629" s="33">
        <v>7.0000000000000001E-3</v>
      </c>
      <c r="Y629" t="s">
        <v>124</v>
      </c>
      <c r="Z629" t="s">
        <v>53</v>
      </c>
      <c r="AA629" t="s">
        <v>51</v>
      </c>
      <c r="AB629" t="s">
        <v>1167</v>
      </c>
      <c r="AF629" t="s">
        <v>1438</v>
      </c>
      <c r="AG629" t="s">
        <v>58</v>
      </c>
      <c r="BX629" t="s">
        <v>1717</v>
      </c>
      <c r="BY629" t="s">
        <v>229</v>
      </c>
      <c r="BZ629" t="s">
        <v>1718</v>
      </c>
      <c r="CA629">
        <v>8</v>
      </c>
      <c r="CB629" t="s">
        <v>1740</v>
      </c>
    </row>
    <row r="630" spans="1:96" hidden="1">
      <c r="A630" s="32" t="s">
        <v>1291</v>
      </c>
      <c r="B630" s="32" t="s">
        <v>79</v>
      </c>
      <c r="C630" s="23">
        <v>4</v>
      </c>
      <c r="D630" s="23">
        <v>5855900</v>
      </c>
      <c r="E630" s="23">
        <v>32</v>
      </c>
      <c r="F630" s="23"/>
      <c r="G630" s="23" t="s">
        <v>52</v>
      </c>
      <c r="H630" s="23"/>
      <c r="I630" s="23"/>
      <c r="J630" s="23"/>
      <c r="K630" s="23" t="s">
        <v>1282</v>
      </c>
      <c r="L630" s="23">
        <v>32201</v>
      </c>
      <c r="M630" s="23"/>
      <c r="N630" s="23"/>
      <c r="O630" s="23"/>
      <c r="P630" s="23"/>
      <c r="Q630" s="23"/>
      <c r="R630" s="23"/>
      <c r="S630" s="23" t="s">
        <v>64</v>
      </c>
      <c r="T630" s="23"/>
      <c r="U630" s="23" t="s">
        <v>17</v>
      </c>
      <c r="V630" s="23"/>
      <c r="W630" s="33">
        <v>4.0000000000000001E-3</v>
      </c>
      <c r="Y630" t="s">
        <v>124</v>
      </c>
      <c r="Z630" t="s">
        <v>53</v>
      </c>
      <c r="AA630" t="s">
        <v>51</v>
      </c>
      <c r="AB630" t="s">
        <v>1167</v>
      </c>
      <c r="AF630" t="s">
        <v>1438</v>
      </c>
      <c r="AG630" t="s">
        <v>58</v>
      </c>
      <c r="BX630" t="s">
        <v>1719</v>
      </c>
      <c r="BY630">
        <v>10.5</v>
      </c>
      <c r="BZ630" t="s">
        <v>1707</v>
      </c>
      <c r="CA630" t="s">
        <v>1720</v>
      </c>
      <c r="CB630" t="s">
        <v>1837</v>
      </c>
    </row>
    <row r="631" spans="1:96" hidden="1">
      <c r="A631" s="32" t="s">
        <v>1292</v>
      </c>
      <c r="B631" s="32" t="s">
        <v>79</v>
      </c>
      <c r="C631" s="23">
        <v>5</v>
      </c>
      <c r="D631" s="23">
        <v>24755600</v>
      </c>
      <c r="E631" s="23">
        <v>32</v>
      </c>
      <c r="F631" s="23"/>
      <c r="G631" s="23" t="s">
        <v>52</v>
      </c>
      <c r="H631" s="23" t="s">
        <v>715</v>
      </c>
      <c r="I631" s="23"/>
      <c r="J631" s="23"/>
      <c r="K631" s="23" t="s">
        <v>716</v>
      </c>
      <c r="L631" s="23">
        <v>32201</v>
      </c>
      <c r="M631" s="23"/>
      <c r="N631" s="23"/>
      <c r="O631" s="23"/>
      <c r="P631" s="23"/>
      <c r="Q631" s="23"/>
      <c r="R631" s="23"/>
      <c r="S631" s="23" t="s">
        <v>64</v>
      </c>
      <c r="T631" s="23"/>
      <c r="U631" s="23" t="s">
        <v>17</v>
      </c>
      <c r="V631" s="23"/>
      <c r="W631" s="33">
        <v>2.9000000000000001E-2</v>
      </c>
      <c r="Y631" t="s">
        <v>124</v>
      </c>
      <c r="Z631" t="s">
        <v>53</v>
      </c>
      <c r="AA631" t="s">
        <v>51</v>
      </c>
      <c r="AB631" t="s">
        <v>1167</v>
      </c>
      <c r="AF631" t="s">
        <v>1438</v>
      </c>
      <c r="AG631" t="s">
        <v>58</v>
      </c>
      <c r="BX631" t="s">
        <v>1713</v>
      </c>
      <c r="BY631" t="s">
        <v>715</v>
      </c>
      <c r="BZ631" t="s">
        <v>1714</v>
      </c>
      <c r="CA631" s="76">
        <v>46242</v>
      </c>
      <c r="CB631" t="s">
        <v>1740</v>
      </c>
    </row>
    <row r="632" spans="1:96" hidden="1">
      <c r="A632" s="32" t="s">
        <v>1293</v>
      </c>
      <c r="B632" s="32" t="s">
        <v>79</v>
      </c>
      <c r="C632" s="23">
        <v>6</v>
      </c>
      <c r="D632" s="23">
        <v>25060100</v>
      </c>
      <c r="E632" s="23">
        <v>32</v>
      </c>
      <c r="F632" s="23"/>
      <c r="G632" s="23" t="s">
        <v>52</v>
      </c>
      <c r="H632" s="23" t="s">
        <v>229</v>
      </c>
      <c r="I632" s="23"/>
      <c r="J632" s="23"/>
      <c r="K632" s="23" t="s">
        <v>1294</v>
      </c>
      <c r="L632" s="23">
        <v>32201</v>
      </c>
      <c r="M632" s="23"/>
      <c r="N632" s="23"/>
      <c r="O632" s="23"/>
      <c r="P632" s="23"/>
      <c r="Q632" s="23"/>
      <c r="R632" s="23"/>
      <c r="S632" s="23" t="s">
        <v>64</v>
      </c>
      <c r="T632" s="23"/>
      <c r="U632" s="23" t="s">
        <v>17</v>
      </c>
      <c r="V632" s="23"/>
      <c r="W632" s="33">
        <v>8.9999999999999993E-3</v>
      </c>
      <c r="Y632" t="s">
        <v>124</v>
      </c>
      <c r="Z632" t="s">
        <v>53</v>
      </c>
      <c r="AA632" t="s">
        <v>51</v>
      </c>
      <c r="AB632" t="s">
        <v>1167</v>
      </c>
      <c r="AF632" t="s">
        <v>1438</v>
      </c>
      <c r="AG632" t="s">
        <v>58</v>
      </c>
      <c r="BX632" t="s">
        <v>1717</v>
      </c>
      <c r="BY632" t="s">
        <v>229</v>
      </c>
      <c r="BZ632" t="s">
        <v>1762</v>
      </c>
      <c r="CA632">
        <v>4</v>
      </c>
      <c r="CB632" t="s">
        <v>1740</v>
      </c>
    </row>
    <row r="633" spans="1:96" ht="30" hidden="1" customHeight="1">
      <c r="A633" s="20" t="s">
        <v>1295</v>
      </c>
      <c r="B633" s="20" t="s">
        <v>62</v>
      </c>
      <c r="C633" s="21">
        <v>9</v>
      </c>
      <c r="D633" s="21" t="s">
        <v>1296</v>
      </c>
      <c r="E633" s="21">
        <v>87</v>
      </c>
      <c r="F633" s="21"/>
      <c r="G633" s="21" t="s">
        <v>52</v>
      </c>
      <c r="H633" s="21"/>
      <c r="I633" s="21"/>
      <c r="J633" s="21"/>
      <c r="K633" s="22" t="s">
        <v>1297</v>
      </c>
      <c r="L633" s="21">
        <v>32201</v>
      </c>
      <c r="M633" s="21"/>
      <c r="N633" s="21"/>
      <c r="O633" s="23"/>
      <c r="P633" s="23"/>
      <c r="Q633" s="23"/>
      <c r="R633" s="23"/>
      <c r="S633" s="23" t="s">
        <v>64</v>
      </c>
      <c r="T633" s="23"/>
      <c r="U633" s="23" t="s">
        <v>17</v>
      </c>
      <c r="V633" s="23"/>
      <c r="W633" s="24">
        <v>5.4</v>
      </c>
      <c r="Y633" t="s">
        <v>777</v>
      </c>
      <c r="Z633" t="s">
        <v>53</v>
      </c>
      <c r="AA633" t="s">
        <v>51</v>
      </c>
      <c r="AF633" t="s">
        <v>1437</v>
      </c>
      <c r="AG633" t="s">
        <v>58</v>
      </c>
      <c r="BX633" t="s">
        <v>1839</v>
      </c>
    </row>
    <row r="634" spans="1:96" ht="60" hidden="1" customHeight="1">
      <c r="A634" s="20" t="s">
        <v>1298</v>
      </c>
      <c r="B634" s="20" t="s">
        <v>62</v>
      </c>
      <c r="C634" s="21">
        <v>10</v>
      </c>
      <c r="D634" s="21" t="s">
        <v>775</v>
      </c>
      <c r="E634" s="21">
        <v>7</v>
      </c>
      <c r="F634" s="21"/>
      <c r="G634" s="21" t="s">
        <v>52</v>
      </c>
      <c r="H634" s="21"/>
      <c r="I634" s="21"/>
      <c r="J634" s="21"/>
      <c r="K634" s="22" t="s">
        <v>776</v>
      </c>
      <c r="L634" s="21">
        <v>32201</v>
      </c>
      <c r="M634" s="21"/>
      <c r="N634" s="21"/>
      <c r="O634" s="23"/>
      <c r="P634" s="23"/>
      <c r="Q634" s="23"/>
      <c r="R634" s="23"/>
      <c r="S634" s="23" t="s">
        <v>64</v>
      </c>
      <c r="T634" s="23"/>
      <c r="U634" s="23" t="s">
        <v>17</v>
      </c>
      <c r="V634" s="23"/>
      <c r="W634" s="24">
        <v>22.5</v>
      </c>
      <c r="Y634" t="s">
        <v>777</v>
      </c>
      <c r="Z634" t="s">
        <v>53</v>
      </c>
      <c r="AA634" t="s">
        <v>51</v>
      </c>
      <c r="AF634" t="s">
        <v>1437</v>
      </c>
      <c r="AG634" t="s">
        <v>58</v>
      </c>
      <c r="BX634" t="s">
        <v>1807</v>
      </c>
    </row>
    <row r="635" spans="1:96" ht="45" hidden="1" customHeight="1">
      <c r="A635" s="20" t="s">
        <v>1299</v>
      </c>
      <c r="B635" s="20" t="s">
        <v>62</v>
      </c>
      <c r="C635" s="21">
        <v>11</v>
      </c>
      <c r="D635" s="21">
        <v>41178549</v>
      </c>
      <c r="E635" s="21">
        <v>4</v>
      </c>
      <c r="F635" s="21"/>
      <c r="G635" s="21" t="s">
        <v>52</v>
      </c>
      <c r="H635" s="21"/>
      <c r="I635" s="21"/>
      <c r="J635" s="21"/>
      <c r="K635" s="22" t="s">
        <v>1300</v>
      </c>
      <c r="L635" s="21">
        <v>32201</v>
      </c>
      <c r="M635" s="21"/>
      <c r="N635" s="21"/>
      <c r="O635" s="23"/>
      <c r="P635" s="23"/>
      <c r="Q635" s="23"/>
      <c r="R635" s="23"/>
      <c r="S635" s="23" t="s">
        <v>64</v>
      </c>
      <c r="T635" s="23"/>
      <c r="U635" s="23" t="s">
        <v>54</v>
      </c>
      <c r="V635" s="23"/>
      <c r="W635" s="24">
        <v>1.1000000000000001</v>
      </c>
      <c r="Y635" t="s">
        <v>777</v>
      </c>
      <c r="Z635" t="s">
        <v>53</v>
      </c>
      <c r="AA635" t="s">
        <v>51</v>
      </c>
      <c r="AF635" t="s">
        <v>1437</v>
      </c>
      <c r="AG635" t="s">
        <v>58</v>
      </c>
      <c r="BX635" t="s">
        <v>1840</v>
      </c>
    </row>
    <row r="636" spans="1:96" ht="60" hidden="1" customHeight="1">
      <c r="A636" s="20" t="s">
        <v>1301</v>
      </c>
      <c r="B636" s="20" t="s">
        <v>62</v>
      </c>
      <c r="C636" s="21">
        <v>12</v>
      </c>
      <c r="D636" s="21" t="s">
        <v>779</v>
      </c>
      <c r="E636" s="21">
        <v>2</v>
      </c>
      <c r="F636" s="21"/>
      <c r="G636" s="21" t="s">
        <v>52</v>
      </c>
      <c r="H636" s="21"/>
      <c r="I636" s="21"/>
      <c r="J636" s="21"/>
      <c r="K636" s="22" t="s">
        <v>780</v>
      </c>
      <c r="L636" s="21">
        <v>32201</v>
      </c>
      <c r="M636" s="21"/>
      <c r="N636" s="21"/>
      <c r="O636" s="23"/>
      <c r="P636" s="23"/>
      <c r="Q636" s="23"/>
      <c r="R636" s="23"/>
      <c r="S636" s="23" t="s">
        <v>64</v>
      </c>
      <c r="T636" s="23"/>
      <c r="U636" s="23" t="s">
        <v>17</v>
      </c>
      <c r="V636" s="23"/>
      <c r="W636" s="24">
        <v>2</v>
      </c>
      <c r="Y636" t="s">
        <v>777</v>
      </c>
      <c r="Z636" t="s">
        <v>53</v>
      </c>
      <c r="AA636" t="s">
        <v>51</v>
      </c>
      <c r="AF636" t="s">
        <v>1437</v>
      </c>
      <c r="AG636" t="s">
        <v>58</v>
      </c>
      <c r="BX636" t="s">
        <v>1808</v>
      </c>
    </row>
    <row r="637" spans="1:96" ht="165" hidden="1" customHeight="1">
      <c r="A637" s="40" t="s">
        <v>1302</v>
      </c>
      <c r="B637" s="40" t="s">
        <v>62</v>
      </c>
      <c r="C637" s="41">
        <v>13</v>
      </c>
      <c r="D637" s="41">
        <v>4676200</v>
      </c>
      <c r="E637" s="41">
        <v>2</v>
      </c>
      <c r="F637" s="41"/>
      <c r="G637" s="41" t="s">
        <v>52</v>
      </c>
      <c r="H637" s="41"/>
      <c r="I637" s="41"/>
      <c r="J637" s="41"/>
      <c r="K637" s="42" t="s">
        <v>1303</v>
      </c>
      <c r="L637" s="41">
        <v>32201</v>
      </c>
      <c r="M637" s="41"/>
      <c r="N637" s="41"/>
      <c r="O637" s="36"/>
      <c r="P637" s="36"/>
      <c r="Q637" s="36"/>
      <c r="R637" s="36"/>
      <c r="S637" s="36" t="s">
        <v>64</v>
      </c>
      <c r="T637" s="36"/>
      <c r="U637" s="36" t="s">
        <v>17</v>
      </c>
      <c r="V637" s="36"/>
      <c r="W637" s="43">
        <v>0.5</v>
      </c>
      <c r="Y637" s="59" t="s">
        <v>1304</v>
      </c>
      <c r="Z637" t="s">
        <v>53</v>
      </c>
      <c r="AA637" t="s">
        <v>51</v>
      </c>
      <c r="AF637" t="s">
        <v>1437</v>
      </c>
      <c r="AG637" t="s">
        <v>58</v>
      </c>
      <c r="BX637" t="s">
        <v>1841</v>
      </c>
    </row>
    <row r="638" spans="1:96" hidden="1">
      <c r="A638" s="26" t="s">
        <v>1305</v>
      </c>
      <c r="B638" s="26" t="s">
        <v>62</v>
      </c>
      <c r="C638" s="27">
        <v>14</v>
      </c>
      <c r="D638" s="27" t="s">
        <v>1306</v>
      </c>
      <c r="E638" s="27">
        <v>2</v>
      </c>
      <c r="F638" s="27"/>
      <c r="G638" s="27" t="s">
        <v>52</v>
      </c>
      <c r="H638" s="27"/>
      <c r="I638" s="27"/>
      <c r="J638" s="27"/>
      <c r="K638" s="27" t="s">
        <v>1307</v>
      </c>
      <c r="L638" s="27">
        <v>114879</v>
      </c>
      <c r="M638" s="27">
        <v>3</v>
      </c>
      <c r="N638" s="27" t="s">
        <v>763</v>
      </c>
      <c r="O638" s="23"/>
      <c r="P638" s="23"/>
      <c r="Q638" s="23"/>
      <c r="R638" s="23"/>
      <c r="S638" s="23" t="s">
        <v>64</v>
      </c>
      <c r="T638" s="23"/>
      <c r="U638" s="23" t="s">
        <v>54</v>
      </c>
      <c r="V638" s="23"/>
      <c r="W638" s="28">
        <v>1.833</v>
      </c>
      <c r="Y638" t="s">
        <v>40</v>
      </c>
      <c r="Z638" t="s">
        <v>53</v>
      </c>
      <c r="AA638" t="s">
        <v>51</v>
      </c>
      <c r="AF638" t="s">
        <v>1437</v>
      </c>
      <c r="AG638" t="s">
        <v>58</v>
      </c>
      <c r="BX638" t="s">
        <v>1307</v>
      </c>
    </row>
    <row r="639" spans="1:96" ht="60" hidden="1" customHeight="1">
      <c r="A639" s="32" t="s">
        <v>1308</v>
      </c>
      <c r="B639" s="32" t="s">
        <v>74</v>
      </c>
      <c r="C639" s="23">
        <v>1</v>
      </c>
      <c r="D639" s="23" t="s">
        <v>1309</v>
      </c>
      <c r="E639" s="23">
        <v>2</v>
      </c>
      <c r="F639" s="23"/>
      <c r="G639" s="23" t="s">
        <v>52</v>
      </c>
      <c r="H639" s="23"/>
      <c r="I639" s="23"/>
      <c r="J639" s="23"/>
      <c r="K639" s="34" t="s">
        <v>1310</v>
      </c>
      <c r="L639" s="23">
        <v>114879</v>
      </c>
      <c r="M639" s="23"/>
      <c r="N639" s="23"/>
      <c r="O639" s="23"/>
      <c r="P639" s="23"/>
      <c r="Q639" s="23"/>
      <c r="R639" s="23"/>
      <c r="S639" s="23" t="s">
        <v>64</v>
      </c>
      <c r="T639" s="23"/>
      <c r="U639" s="23" t="s">
        <v>17</v>
      </c>
      <c r="V639" s="23"/>
      <c r="W639" s="33">
        <v>0.03</v>
      </c>
      <c r="Y639" t="s">
        <v>1304</v>
      </c>
      <c r="Z639" t="s">
        <v>53</v>
      </c>
      <c r="AA639" t="s">
        <v>51</v>
      </c>
      <c r="AF639" t="s">
        <v>1438</v>
      </c>
      <c r="AG639" t="s">
        <v>58</v>
      </c>
      <c r="BX639" t="s">
        <v>1842</v>
      </c>
    </row>
    <row r="640" spans="1:96" hidden="1">
      <c r="A640" s="32" t="s">
        <v>1311</v>
      </c>
      <c r="B640" s="32" t="s">
        <v>74</v>
      </c>
      <c r="C640" s="23">
        <v>2</v>
      </c>
      <c r="D640" s="23">
        <v>3022000</v>
      </c>
      <c r="E640" s="23">
        <v>20</v>
      </c>
      <c r="F640" s="23"/>
      <c r="G640" s="23" t="s">
        <v>52</v>
      </c>
      <c r="H640" s="23"/>
      <c r="I640" s="23"/>
      <c r="J640" s="23"/>
      <c r="K640" s="23" t="s">
        <v>1312</v>
      </c>
      <c r="L640" s="23">
        <v>114879</v>
      </c>
      <c r="M640" s="23"/>
      <c r="N640" s="23"/>
      <c r="O640" s="23"/>
      <c r="P640" s="23"/>
      <c r="Q640" s="23"/>
      <c r="R640" s="23"/>
      <c r="S640" s="23" t="s">
        <v>64</v>
      </c>
      <c r="T640" s="23"/>
      <c r="U640" s="23" t="s">
        <v>17</v>
      </c>
      <c r="V640" s="23"/>
      <c r="W640" s="33">
        <v>0</v>
      </c>
      <c r="Y640" t="s">
        <v>124</v>
      </c>
      <c r="Z640" t="s">
        <v>53</v>
      </c>
      <c r="AA640" t="s">
        <v>51</v>
      </c>
      <c r="AF640" t="s">
        <v>1437</v>
      </c>
      <c r="AG640" t="s">
        <v>58</v>
      </c>
      <c r="BX640" t="s">
        <v>1843</v>
      </c>
      <c r="BY640" t="s">
        <v>1844</v>
      </c>
      <c r="BZ640" t="s">
        <v>1711</v>
      </c>
      <c r="CA640" t="s">
        <v>1845</v>
      </c>
      <c r="CB640" t="s">
        <v>1846</v>
      </c>
    </row>
    <row r="641" spans="1:81" hidden="1">
      <c r="A641" s="32" t="s">
        <v>1313</v>
      </c>
      <c r="B641" s="32" t="s">
        <v>74</v>
      </c>
      <c r="C641" s="23">
        <v>3</v>
      </c>
      <c r="D641" s="23">
        <v>24707900</v>
      </c>
      <c r="E641" s="23">
        <v>40</v>
      </c>
      <c r="F641" s="23"/>
      <c r="G641" s="23" t="s">
        <v>52</v>
      </c>
      <c r="H641" s="23" t="s">
        <v>275</v>
      </c>
      <c r="I641" s="23"/>
      <c r="J641" s="23"/>
      <c r="K641" s="23" t="s">
        <v>276</v>
      </c>
      <c r="L641" s="23">
        <v>114879</v>
      </c>
      <c r="M641" s="23"/>
      <c r="N641" s="23"/>
      <c r="O641" s="23"/>
      <c r="P641" s="23"/>
      <c r="Q641" s="23"/>
      <c r="R641" s="23"/>
      <c r="S641" s="23" t="s">
        <v>64</v>
      </c>
      <c r="T641" s="23"/>
      <c r="U641" s="23" t="s">
        <v>17</v>
      </c>
      <c r="V641" s="23"/>
      <c r="W641" s="33">
        <v>1.7000000000000001E-2</v>
      </c>
      <c r="Y641" t="s">
        <v>124</v>
      </c>
      <c r="Z641" t="s">
        <v>53</v>
      </c>
      <c r="AA641" t="s">
        <v>51</v>
      </c>
      <c r="AF641" t="s">
        <v>1437</v>
      </c>
      <c r="AG641" t="s">
        <v>58</v>
      </c>
      <c r="BX641" t="s">
        <v>1717</v>
      </c>
      <c r="BY641" t="s">
        <v>275</v>
      </c>
      <c r="BZ641" t="s">
        <v>1718</v>
      </c>
      <c r="CA641">
        <v>8</v>
      </c>
      <c r="CB641" t="s">
        <v>1715</v>
      </c>
      <c r="CC641" t="s">
        <v>1716</v>
      </c>
    </row>
    <row r="642" spans="1:81" hidden="1">
      <c r="A642" s="32" t="s">
        <v>1314</v>
      </c>
      <c r="B642" s="32" t="s">
        <v>74</v>
      </c>
      <c r="C642" s="23">
        <v>4</v>
      </c>
      <c r="D642" s="23">
        <v>24484200</v>
      </c>
      <c r="E642" s="23">
        <v>20</v>
      </c>
      <c r="F642" s="23"/>
      <c r="G642" s="23" t="s">
        <v>52</v>
      </c>
      <c r="H642" s="23">
        <v>13</v>
      </c>
      <c r="I642" s="23"/>
      <c r="J642" s="23"/>
      <c r="K642" s="23" t="s">
        <v>278</v>
      </c>
      <c r="L642" s="23">
        <v>114879</v>
      </c>
      <c r="M642" s="23"/>
      <c r="N642" s="23"/>
      <c r="O642" s="23"/>
      <c r="P642" s="23"/>
      <c r="Q642" s="23"/>
      <c r="R642" s="23"/>
      <c r="S642" s="23" t="s">
        <v>64</v>
      </c>
      <c r="T642" s="23"/>
      <c r="U642" s="23" t="s">
        <v>17</v>
      </c>
      <c r="V642" s="23"/>
      <c r="W642" s="33">
        <v>0.01</v>
      </c>
      <c r="Y642" t="s">
        <v>124</v>
      </c>
      <c r="Z642" t="s">
        <v>53</v>
      </c>
      <c r="AA642" t="s">
        <v>51</v>
      </c>
      <c r="AF642" t="s">
        <v>1437</v>
      </c>
      <c r="AG642" t="s">
        <v>58</v>
      </c>
      <c r="BX642" t="s">
        <v>1719</v>
      </c>
      <c r="BY642">
        <v>13</v>
      </c>
      <c r="BZ642" t="s">
        <v>763</v>
      </c>
      <c r="CA642" t="s">
        <v>1720</v>
      </c>
      <c r="CB642" t="s">
        <v>1721</v>
      </c>
    </row>
    <row r="643" spans="1:81" ht="75" hidden="1" customHeight="1">
      <c r="A643" s="32" t="s">
        <v>1315</v>
      </c>
      <c r="B643" s="32" t="s">
        <v>74</v>
      </c>
      <c r="C643" s="23">
        <v>5</v>
      </c>
      <c r="D643" s="23" t="s">
        <v>1316</v>
      </c>
      <c r="E643" s="23">
        <v>4</v>
      </c>
      <c r="F643" s="23"/>
      <c r="G643" s="23" t="s">
        <v>52</v>
      </c>
      <c r="H643" s="23"/>
      <c r="I643" s="23"/>
      <c r="J643" s="23"/>
      <c r="K643" s="34" t="s">
        <v>1317</v>
      </c>
      <c r="L643" s="23">
        <v>114879</v>
      </c>
      <c r="M643" s="23"/>
      <c r="N643" s="23"/>
      <c r="O643" s="23"/>
      <c r="P643" s="23"/>
      <c r="Q643" s="23"/>
      <c r="R643" s="23"/>
      <c r="S643" s="23" t="s">
        <v>64</v>
      </c>
      <c r="T643" s="23"/>
      <c r="U643" s="23" t="s">
        <v>17</v>
      </c>
      <c r="V643" s="23"/>
      <c r="W643" s="33">
        <v>0.01</v>
      </c>
      <c r="Y643" t="s">
        <v>1304</v>
      </c>
      <c r="Z643" t="s">
        <v>53</v>
      </c>
      <c r="AA643" t="s">
        <v>51</v>
      </c>
      <c r="AF643" t="s">
        <v>1438</v>
      </c>
      <c r="AG643" t="s">
        <v>58</v>
      </c>
      <c r="BX643" t="s">
        <v>1847</v>
      </c>
      <c r="BY643" t="s">
        <v>1848</v>
      </c>
    </row>
    <row r="644" spans="1:81" ht="60" hidden="1" customHeight="1">
      <c r="A644" s="32" t="s">
        <v>1318</v>
      </c>
      <c r="B644" s="32" t="s">
        <v>74</v>
      </c>
      <c r="C644" s="23">
        <v>6</v>
      </c>
      <c r="D644" s="23" t="s">
        <v>1319</v>
      </c>
      <c r="E644" s="23">
        <v>2</v>
      </c>
      <c r="F644" s="23">
        <v>60</v>
      </c>
      <c r="G644" s="23" t="s">
        <v>408</v>
      </c>
      <c r="H644" s="23" t="s">
        <v>1320</v>
      </c>
      <c r="I644" s="23" t="s">
        <v>85</v>
      </c>
      <c r="J644" s="23">
        <v>0</v>
      </c>
      <c r="K644" s="34" t="s">
        <v>1321</v>
      </c>
      <c r="L644" s="23">
        <v>114879</v>
      </c>
      <c r="M644" s="23"/>
      <c r="N644" s="23"/>
      <c r="O644" s="23"/>
      <c r="P644" s="23"/>
      <c r="Q644" s="23"/>
      <c r="R644" s="23"/>
      <c r="S644" s="23" t="s">
        <v>64</v>
      </c>
      <c r="T644" s="23"/>
      <c r="U644" s="23" t="s">
        <v>17</v>
      </c>
      <c r="V644" s="23"/>
      <c r="W644" s="33">
        <v>6.0000000000000001E-3</v>
      </c>
      <c r="Y644" t="s">
        <v>1304</v>
      </c>
      <c r="Z644" t="s">
        <v>53</v>
      </c>
      <c r="AA644" t="s">
        <v>51</v>
      </c>
      <c r="AF644" t="s">
        <v>1438</v>
      </c>
      <c r="AG644" t="s">
        <v>58</v>
      </c>
      <c r="BX644" t="s">
        <v>1849</v>
      </c>
    </row>
    <row r="645" spans="1:81" ht="75" hidden="1" customHeight="1">
      <c r="A645" s="32" t="s">
        <v>1322</v>
      </c>
      <c r="B645" s="32" t="s">
        <v>74</v>
      </c>
      <c r="C645" s="23">
        <v>7</v>
      </c>
      <c r="D645" s="23" t="s">
        <v>1323</v>
      </c>
      <c r="E645" s="23">
        <v>2</v>
      </c>
      <c r="F645" s="23"/>
      <c r="G645" s="23" t="s">
        <v>52</v>
      </c>
      <c r="H645" s="23"/>
      <c r="I645" s="23"/>
      <c r="J645" s="23"/>
      <c r="K645" s="34" t="s">
        <v>1324</v>
      </c>
      <c r="L645" s="23">
        <v>114879</v>
      </c>
      <c r="M645" s="23"/>
      <c r="N645" s="23"/>
      <c r="O645" s="23"/>
      <c r="P645" s="23"/>
      <c r="Q645" s="23"/>
      <c r="R645" s="23"/>
      <c r="S645" s="23" t="s">
        <v>64</v>
      </c>
      <c r="T645" s="23"/>
      <c r="U645" s="23" t="s">
        <v>17</v>
      </c>
      <c r="V645" s="23"/>
      <c r="W645" s="33">
        <v>0.01</v>
      </c>
      <c r="Y645" t="s">
        <v>1304</v>
      </c>
      <c r="Z645" t="s">
        <v>53</v>
      </c>
      <c r="AA645" t="s">
        <v>51</v>
      </c>
      <c r="AF645" t="s">
        <v>1438</v>
      </c>
      <c r="AG645" t="s">
        <v>58</v>
      </c>
      <c r="BX645" t="s">
        <v>1850</v>
      </c>
    </row>
    <row r="646" spans="1:81" ht="45" hidden="1" customHeight="1">
      <c r="A646" s="32" t="s">
        <v>1325</v>
      </c>
      <c r="B646" s="32" t="s">
        <v>74</v>
      </c>
      <c r="C646" s="23">
        <v>8</v>
      </c>
      <c r="D646" s="23" t="s">
        <v>1326</v>
      </c>
      <c r="E646" s="23">
        <v>2</v>
      </c>
      <c r="F646" s="23"/>
      <c r="G646" s="23" t="s">
        <v>52</v>
      </c>
      <c r="H646" s="23"/>
      <c r="I646" s="23"/>
      <c r="J646" s="23"/>
      <c r="K646" s="34" t="s">
        <v>1327</v>
      </c>
      <c r="L646" s="23">
        <v>114879</v>
      </c>
      <c r="M646" s="23"/>
      <c r="N646" s="23"/>
      <c r="O646" s="23"/>
      <c r="P646" s="23"/>
      <c r="Q646" s="23"/>
      <c r="R646" s="23"/>
      <c r="S646" s="23" t="s">
        <v>64</v>
      </c>
      <c r="T646" s="23"/>
      <c r="U646" s="23" t="s">
        <v>17</v>
      </c>
      <c r="V646" s="23"/>
      <c r="W646" s="33">
        <v>0.13300000000000001</v>
      </c>
      <c r="Y646" t="s">
        <v>124</v>
      </c>
      <c r="Z646" t="s">
        <v>53</v>
      </c>
      <c r="AA646" t="s">
        <v>51</v>
      </c>
      <c r="AF646" t="s">
        <v>1437</v>
      </c>
      <c r="AG646" t="s">
        <v>58</v>
      </c>
      <c r="BX646" t="s">
        <v>1851</v>
      </c>
    </row>
    <row r="647" spans="1:81" ht="225" hidden="1" customHeight="1">
      <c r="A647" s="40" t="s">
        <v>1328</v>
      </c>
      <c r="B647" s="40" t="s">
        <v>62</v>
      </c>
      <c r="C647" s="41">
        <v>15</v>
      </c>
      <c r="D647" s="41">
        <v>4206100</v>
      </c>
      <c r="E647" s="41">
        <v>1</v>
      </c>
      <c r="F647" s="41"/>
      <c r="G647" s="41" t="s">
        <v>52</v>
      </c>
      <c r="H647" s="41"/>
      <c r="I647" s="41"/>
      <c r="J647" s="41"/>
      <c r="K647" s="42" t="s">
        <v>1329</v>
      </c>
      <c r="L647" s="41">
        <v>114879</v>
      </c>
      <c r="M647" s="41"/>
      <c r="N647" s="41"/>
      <c r="O647" s="36"/>
      <c r="P647" s="36"/>
      <c r="Q647" s="36"/>
      <c r="R647" s="36"/>
      <c r="S647" s="36" t="s">
        <v>64</v>
      </c>
      <c r="T647" s="36"/>
      <c r="U647" s="36" t="s">
        <v>17</v>
      </c>
      <c r="V647" s="36"/>
      <c r="W647" s="43">
        <v>0.15</v>
      </c>
      <c r="Y647" s="59" t="s">
        <v>1330</v>
      </c>
      <c r="Z647" t="s">
        <v>53</v>
      </c>
      <c r="AA647" t="s">
        <v>51</v>
      </c>
      <c r="AF647" t="s">
        <v>1437</v>
      </c>
      <c r="AG647" t="s">
        <v>58</v>
      </c>
      <c r="BX647" t="s">
        <v>1852</v>
      </c>
      <c r="BY647" t="s">
        <v>1853</v>
      </c>
      <c r="BZ647" t="s">
        <v>1854</v>
      </c>
    </row>
    <row r="648" spans="1:81" ht="150" hidden="1" customHeight="1">
      <c r="A648" s="40" t="s">
        <v>1331</v>
      </c>
      <c r="B648" s="40" t="s">
        <v>62</v>
      </c>
      <c r="C648" s="41">
        <v>16</v>
      </c>
      <c r="D648" s="41">
        <v>5257900</v>
      </c>
      <c r="E648" s="41">
        <v>1</v>
      </c>
      <c r="F648" s="41"/>
      <c r="G648" s="41" t="s">
        <v>52</v>
      </c>
      <c r="H648" s="41"/>
      <c r="I648" s="41"/>
      <c r="J648" s="41"/>
      <c r="K648" s="42" t="s">
        <v>1332</v>
      </c>
      <c r="L648" s="41">
        <v>114879</v>
      </c>
      <c r="M648" s="41"/>
      <c r="N648" s="41"/>
      <c r="O648" s="36"/>
      <c r="P648" s="36"/>
      <c r="Q648" s="36"/>
      <c r="R648" s="36"/>
      <c r="S648" s="36" t="s">
        <v>64</v>
      </c>
      <c r="T648" s="36"/>
      <c r="U648" s="36" t="s">
        <v>17</v>
      </c>
      <c r="V648" s="36"/>
      <c r="W648" s="43">
        <v>0.46</v>
      </c>
      <c r="Y648" t="s">
        <v>1330</v>
      </c>
      <c r="Z648" t="s">
        <v>53</v>
      </c>
      <c r="AA648" t="s">
        <v>51</v>
      </c>
      <c r="AF648" t="s">
        <v>1437</v>
      </c>
      <c r="AG648" t="s">
        <v>58</v>
      </c>
      <c r="BX648" t="s">
        <v>1855</v>
      </c>
      <c r="BY648" t="s">
        <v>1856</v>
      </c>
      <c r="BZ648" t="s">
        <v>1857</v>
      </c>
      <c r="CA648" t="s">
        <v>1858</v>
      </c>
      <c r="CB648" t="s">
        <v>1859</v>
      </c>
    </row>
    <row r="649" spans="1:81" hidden="1">
      <c r="A649" s="20" t="s">
        <v>1333</v>
      </c>
      <c r="B649" s="20" t="s">
        <v>62</v>
      </c>
      <c r="C649" s="21">
        <v>17</v>
      </c>
      <c r="D649" s="21">
        <v>8034200</v>
      </c>
      <c r="E649" s="21">
        <v>45</v>
      </c>
      <c r="F649" s="21"/>
      <c r="G649" s="21" t="s">
        <v>408</v>
      </c>
      <c r="H649" s="21"/>
      <c r="I649" s="21"/>
      <c r="J649" s="21"/>
      <c r="K649" s="21" t="s">
        <v>1334</v>
      </c>
      <c r="L649" s="21">
        <v>114879</v>
      </c>
      <c r="M649" s="21"/>
      <c r="N649" s="21"/>
      <c r="O649" s="23"/>
      <c r="P649" s="23"/>
      <c r="Q649" s="23"/>
      <c r="R649" s="23"/>
      <c r="S649" s="23" t="s">
        <v>64</v>
      </c>
      <c r="T649" s="23"/>
      <c r="U649" s="23" t="s">
        <v>17</v>
      </c>
      <c r="V649" s="23"/>
      <c r="W649" s="24">
        <v>1.65</v>
      </c>
      <c r="Y649" t="s">
        <v>259</v>
      </c>
      <c r="Z649" t="s">
        <v>53</v>
      </c>
      <c r="AA649" t="s">
        <v>51</v>
      </c>
      <c r="AF649" t="s">
        <v>1437</v>
      </c>
      <c r="AG649" t="s">
        <v>58</v>
      </c>
      <c r="BX649" t="s">
        <v>1795</v>
      </c>
      <c r="BY649" t="s">
        <v>1860</v>
      </c>
      <c r="BZ649" t="s">
        <v>1861</v>
      </c>
      <c r="CA649" t="s">
        <v>1862</v>
      </c>
    </row>
    <row r="650" spans="1:81" hidden="1">
      <c r="A650" s="26" t="s">
        <v>1335</v>
      </c>
      <c r="B650" s="26" t="s">
        <v>62</v>
      </c>
      <c r="C650" s="27">
        <v>18</v>
      </c>
      <c r="D650" s="27" t="s">
        <v>1336</v>
      </c>
      <c r="E650" s="27">
        <v>3</v>
      </c>
      <c r="F650" s="27"/>
      <c r="G650" s="27" t="s">
        <v>52</v>
      </c>
      <c r="H650" s="27"/>
      <c r="I650" s="27"/>
      <c r="J650" s="27"/>
      <c r="K650" s="27" t="s">
        <v>1337</v>
      </c>
      <c r="L650" s="27" t="s">
        <v>1338</v>
      </c>
      <c r="M650" s="27">
        <v>3</v>
      </c>
      <c r="N650" s="27"/>
      <c r="O650" s="23"/>
      <c r="P650" s="23"/>
      <c r="Q650" s="23"/>
      <c r="R650" s="23"/>
      <c r="S650" s="23" t="s">
        <v>64</v>
      </c>
      <c r="T650" s="23"/>
      <c r="U650" s="23" t="s">
        <v>54</v>
      </c>
      <c r="V650" s="23"/>
      <c r="W650" s="28">
        <v>8.09</v>
      </c>
      <c r="Y650" t="s">
        <v>40</v>
      </c>
      <c r="Z650" t="s">
        <v>53</v>
      </c>
      <c r="AA650" t="s">
        <v>51</v>
      </c>
      <c r="AB650" t="s">
        <v>1339</v>
      </c>
      <c r="AF650" t="s">
        <v>1437</v>
      </c>
      <c r="AG650" t="s">
        <v>58</v>
      </c>
      <c r="BX650" t="s">
        <v>1337</v>
      </c>
    </row>
    <row r="651" spans="1:81" hidden="1">
      <c r="A651" s="32" t="s">
        <v>1340</v>
      </c>
      <c r="B651" s="32" t="s">
        <v>74</v>
      </c>
      <c r="C651" s="23">
        <v>1</v>
      </c>
      <c r="D651" s="23">
        <v>4139700</v>
      </c>
      <c r="E651" s="23">
        <v>6</v>
      </c>
      <c r="F651" s="23">
        <v>17.100000000000001</v>
      </c>
      <c r="G651" s="23" t="s">
        <v>408</v>
      </c>
      <c r="H651" s="23" t="s">
        <v>1341</v>
      </c>
      <c r="I651" s="23" t="s">
        <v>85</v>
      </c>
      <c r="J651" s="23">
        <v>0</v>
      </c>
      <c r="K651" s="23" t="s">
        <v>1342</v>
      </c>
      <c r="L651" s="23" t="s">
        <v>1338</v>
      </c>
      <c r="M651" s="23"/>
      <c r="N651" s="23"/>
      <c r="O651" s="23"/>
      <c r="P651" s="23"/>
      <c r="Q651" s="23"/>
      <c r="R651" s="23"/>
      <c r="S651" s="23" t="s">
        <v>64</v>
      </c>
      <c r="T651" s="23"/>
      <c r="U651" s="23" t="s">
        <v>17</v>
      </c>
      <c r="V651" s="23"/>
      <c r="W651" s="33">
        <v>0</v>
      </c>
      <c r="Y651" t="s">
        <v>1343</v>
      </c>
      <c r="Z651" t="s">
        <v>53</v>
      </c>
      <c r="AA651" t="s">
        <v>51</v>
      </c>
      <c r="AB651" t="s">
        <v>1339</v>
      </c>
      <c r="AF651" t="s">
        <v>1437</v>
      </c>
      <c r="AG651" t="s">
        <v>58</v>
      </c>
      <c r="BX651" t="s">
        <v>1863</v>
      </c>
      <c r="BY651" t="s">
        <v>1864</v>
      </c>
      <c r="BZ651" t="s">
        <v>1865</v>
      </c>
      <c r="CA651" t="s">
        <v>1866</v>
      </c>
    </row>
    <row r="652" spans="1:81" ht="30" hidden="1" customHeight="1">
      <c r="A652" s="32" t="s">
        <v>1344</v>
      </c>
      <c r="B652" s="32" t="s">
        <v>74</v>
      </c>
      <c r="C652" s="23">
        <v>2</v>
      </c>
      <c r="D652" s="23" t="s">
        <v>1345</v>
      </c>
      <c r="E652" s="23">
        <v>18</v>
      </c>
      <c r="F652" s="23"/>
      <c r="G652" s="23" t="s">
        <v>52</v>
      </c>
      <c r="H652" s="23"/>
      <c r="I652" s="23"/>
      <c r="J652" s="23"/>
      <c r="K652" s="34" t="s">
        <v>1346</v>
      </c>
      <c r="L652" s="23" t="s">
        <v>1338</v>
      </c>
      <c r="M652" s="23"/>
      <c r="N652" s="23"/>
      <c r="O652" s="23"/>
      <c r="P652" s="23"/>
      <c r="Q652" s="23"/>
      <c r="R652" s="23"/>
      <c r="S652" s="23" t="s">
        <v>64</v>
      </c>
      <c r="T652" s="23"/>
      <c r="U652" s="23" t="s">
        <v>17</v>
      </c>
      <c r="V652" s="23"/>
      <c r="W652" s="33">
        <v>0.2</v>
      </c>
      <c r="Y652" t="s">
        <v>1343</v>
      </c>
      <c r="Z652" t="s">
        <v>53</v>
      </c>
      <c r="AA652" t="s">
        <v>51</v>
      </c>
      <c r="AB652" t="s">
        <v>1339</v>
      </c>
      <c r="AF652" t="s">
        <v>1437</v>
      </c>
      <c r="AG652" t="s">
        <v>58</v>
      </c>
      <c r="BX652" t="s">
        <v>1867</v>
      </c>
    </row>
    <row r="653" spans="1:81" hidden="1">
      <c r="A653" s="32" t="s">
        <v>1347</v>
      </c>
      <c r="B653" s="32" t="s">
        <v>74</v>
      </c>
      <c r="C653" s="23">
        <v>3</v>
      </c>
      <c r="D653" s="23">
        <v>3708400</v>
      </c>
      <c r="E653" s="23">
        <v>12</v>
      </c>
      <c r="F653" s="23"/>
      <c r="G653" s="23" t="s">
        <v>52</v>
      </c>
      <c r="H653" s="23"/>
      <c r="I653" s="23"/>
      <c r="J653" s="23"/>
      <c r="K653" s="23" t="s">
        <v>1348</v>
      </c>
      <c r="L653" s="23" t="s">
        <v>1338</v>
      </c>
      <c r="M653" s="23"/>
      <c r="N653" s="23"/>
      <c r="O653" s="23"/>
      <c r="P653" s="23"/>
      <c r="Q653" s="23"/>
      <c r="R653" s="23"/>
      <c r="S653" s="23" t="s">
        <v>64</v>
      </c>
      <c r="T653" s="23"/>
      <c r="U653" s="23" t="s">
        <v>17</v>
      </c>
      <c r="V653" s="23"/>
      <c r="W653" s="33">
        <v>0.1</v>
      </c>
      <c r="Y653" t="s">
        <v>1343</v>
      </c>
      <c r="Z653" t="s">
        <v>53</v>
      </c>
      <c r="AA653" t="s">
        <v>51</v>
      </c>
      <c r="AB653" t="s">
        <v>1339</v>
      </c>
      <c r="AF653" t="s">
        <v>1437</v>
      </c>
      <c r="AG653" t="s">
        <v>58</v>
      </c>
      <c r="BX653" t="s">
        <v>1868</v>
      </c>
      <c r="BY653">
        <v>32</v>
      </c>
      <c r="CB653" t="s">
        <v>1869</v>
      </c>
    </row>
    <row r="654" spans="1:81" hidden="1">
      <c r="A654" s="32" t="s">
        <v>1349</v>
      </c>
      <c r="B654" s="32" t="s">
        <v>74</v>
      </c>
      <c r="C654" s="23">
        <v>4</v>
      </c>
      <c r="D654" s="23">
        <v>24378600</v>
      </c>
      <c r="E654" s="23">
        <v>18</v>
      </c>
      <c r="F654" s="23"/>
      <c r="G654" s="23" t="s">
        <v>52</v>
      </c>
      <c r="H654" s="23" t="s">
        <v>1350</v>
      </c>
      <c r="I654" s="23"/>
      <c r="J654" s="23"/>
      <c r="K654" s="23" t="s">
        <v>1351</v>
      </c>
      <c r="L654" s="23" t="s">
        <v>1338</v>
      </c>
      <c r="M654" s="23"/>
      <c r="N654" s="23"/>
      <c r="O654" s="23"/>
      <c r="P654" s="23"/>
      <c r="Q654" s="23"/>
      <c r="R654" s="23"/>
      <c r="S654" s="23" t="s">
        <v>64</v>
      </c>
      <c r="T654" s="23"/>
      <c r="U654" s="23" t="s">
        <v>17</v>
      </c>
      <c r="V654" s="23"/>
      <c r="W654" s="33">
        <v>1.2999999999999999E-2</v>
      </c>
      <c r="Y654" t="s">
        <v>124</v>
      </c>
      <c r="Z654" t="s">
        <v>53</v>
      </c>
      <c r="AA654" t="s">
        <v>51</v>
      </c>
      <c r="AB654" t="s">
        <v>1339</v>
      </c>
      <c r="AF654" t="s">
        <v>1437</v>
      </c>
      <c r="AG654" t="s">
        <v>58</v>
      </c>
      <c r="BX654" t="s">
        <v>1713</v>
      </c>
      <c r="BY654" t="s">
        <v>1350</v>
      </c>
      <c r="BZ654" t="s">
        <v>1714</v>
      </c>
      <c r="CA654" s="76">
        <v>46242</v>
      </c>
      <c r="CB654" t="s">
        <v>1740</v>
      </c>
    </row>
    <row r="655" spans="1:81" hidden="1">
      <c r="A655" s="32" t="s">
        <v>1352</v>
      </c>
      <c r="B655" s="32" t="s">
        <v>74</v>
      </c>
      <c r="C655" s="23">
        <v>5</v>
      </c>
      <c r="D655" s="23">
        <v>3245800</v>
      </c>
      <c r="E655" s="23">
        <v>18</v>
      </c>
      <c r="F655" s="23"/>
      <c r="G655" s="23" t="s">
        <v>52</v>
      </c>
      <c r="H655" s="23">
        <v>8.4</v>
      </c>
      <c r="I655" s="23"/>
      <c r="J655" s="23"/>
      <c r="K655" s="23" t="s">
        <v>1353</v>
      </c>
      <c r="L655" s="23" t="s">
        <v>1338</v>
      </c>
      <c r="M655" s="23"/>
      <c r="N655" s="23"/>
      <c r="O655" s="23"/>
      <c r="P655" s="23"/>
      <c r="Q655" s="23"/>
      <c r="R655" s="23"/>
      <c r="S655" s="23" t="s">
        <v>64</v>
      </c>
      <c r="T655" s="23"/>
      <c r="U655" s="23" t="s">
        <v>17</v>
      </c>
      <c r="V655" s="23"/>
      <c r="W655" s="33">
        <v>2E-3</v>
      </c>
      <c r="Y655" t="s">
        <v>124</v>
      </c>
      <c r="Z655" t="s">
        <v>53</v>
      </c>
      <c r="AA655" t="s">
        <v>51</v>
      </c>
      <c r="AB655" t="s">
        <v>1339</v>
      </c>
      <c r="AF655" t="s">
        <v>1437</v>
      </c>
      <c r="AG655" t="s">
        <v>58</v>
      </c>
      <c r="BX655" t="s">
        <v>1719</v>
      </c>
      <c r="BY655">
        <v>8.4</v>
      </c>
      <c r="BZ655" t="s">
        <v>763</v>
      </c>
      <c r="CA655" t="s">
        <v>1720</v>
      </c>
      <c r="CB655" t="s">
        <v>1734</v>
      </c>
    </row>
    <row r="656" spans="1:81" hidden="1">
      <c r="A656" s="26" t="s">
        <v>1354</v>
      </c>
      <c r="B656" s="26" t="s">
        <v>62</v>
      </c>
      <c r="C656" s="27">
        <v>19</v>
      </c>
      <c r="D656" s="27" t="s">
        <v>1355</v>
      </c>
      <c r="E656" s="27">
        <v>1</v>
      </c>
      <c r="F656" s="27"/>
      <c r="G656" s="27" t="s">
        <v>52</v>
      </c>
      <c r="H656" s="27"/>
      <c r="I656" s="27"/>
      <c r="J656" s="27"/>
      <c r="K656" s="27" t="s">
        <v>1356</v>
      </c>
      <c r="L656" s="27" t="s">
        <v>1338</v>
      </c>
      <c r="M656" s="27">
        <v>3</v>
      </c>
      <c r="N656" s="27"/>
      <c r="O656" s="23"/>
      <c r="P656" s="23"/>
      <c r="Q656" s="23"/>
      <c r="R656" s="23"/>
      <c r="S656" s="23" t="s">
        <v>64</v>
      </c>
      <c r="T656" s="23"/>
      <c r="U656" s="23" t="s">
        <v>54</v>
      </c>
      <c r="V656" s="23"/>
      <c r="W656" s="28">
        <v>5.46</v>
      </c>
      <c r="Y656" t="s">
        <v>40</v>
      </c>
      <c r="Z656" t="s">
        <v>53</v>
      </c>
      <c r="AA656" t="s">
        <v>51</v>
      </c>
      <c r="AB656" t="s">
        <v>1339</v>
      </c>
      <c r="AF656" t="s">
        <v>1437</v>
      </c>
      <c r="AG656" t="s">
        <v>58</v>
      </c>
      <c r="BX656" t="s">
        <v>1356</v>
      </c>
    </row>
    <row r="657" spans="1:80" hidden="1">
      <c r="A657" s="32" t="s">
        <v>1357</v>
      </c>
      <c r="B657" s="32" t="s">
        <v>74</v>
      </c>
      <c r="C657" s="23">
        <v>1</v>
      </c>
      <c r="D657" s="23">
        <v>4139700</v>
      </c>
      <c r="E657" s="23">
        <v>2</v>
      </c>
      <c r="F657" s="23">
        <v>3.7</v>
      </c>
      <c r="G657" s="23" t="s">
        <v>408</v>
      </c>
      <c r="H657" s="23" t="s">
        <v>1358</v>
      </c>
      <c r="I657" s="23" t="s">
        <v>85</v>
      </c>
      <c r="J657" s="23">
        <v>0</v>
      </c>
      <c r="K657" s="23" t="s">
        <v>1342</v>
      </c>
      <c r="L657" s="23" t="s">
        <v>1338</v>
      </c>
      <c r="M657" s="23"/>
      <c r="N657" s="23"/>
      <c r="O657" s="23"/>
      <c r="P657" s="23"/>
      <c r="Q657" s="23"/>
      <c r="R657" s="23"/>
      <c r="S657" s="23" t="s">
        <v>64</v>
      </c>
      <c r="T657" s="23"/>
      <c r="U657" s="23" t="s">
        <v>17</v>
      </c>
      <c r="V657" s="23"/>
      <c r="W657" s="33">
        <v>0</v>
      </c>
      <c r="Y657" t="s">
        <v>1343</v>
      </c>
      <c r="Z657" t="s">
        <v>53</v>
      </c>
      <c r="AA657" t="s">
        <v>51</v>
      </c>
      <c r="AB657" t="s">
        <v>1339</v>
      </c>
      <c r="AF657" t="s">
        <v>1437</v>
      </c>
      <c r="AG657" t="s">
        <v>58</v>
      </c>
      <c r="BX657" t="s">
        <v>1863</v>
      </c>
      <c r="BY657" t="s">
        <v>1864</v>
      </c>
      <c r="BZ657" t="s">
        <v>1865</v>
      </c>
      <c r="CA657" t="s">
        <v>1866</v>
      </c>
    </row>
    <row r="658" spans="1:80" ht="30" hidden="1" customHeight="1">
      <c r="A658" s="32" t="s">
        <v>1359</v>
      </c>
      <c r="B658" s="32" t="s">
        <v>74</v>
      </c>
      <c r="C658" s="23">
        <v>2</v>
      </c>
      <c r="D658" s="23" t="s">
        <v>1345</v>
      </c>
      <c r="E658" s="23">
        <v>4</v>
      </c>
      <c r="F658" s="23"/>
      <c r="G658" s="23" t="s">
        <v>52</v>
      </c>
      <c r="H658" s="23"/>
      <c r="I658" s="23"/>
      <c r="J658" s="23"/>
      <c r="K658" s="34" t="s">
        <v>1346</v>
      </c>
      <c r="L658" s="23" t="s">
        <v>1338</v>
      </c>
      <c r="M658" s="23"/>
      <c r="N658" s="23"/>
      <c r="O658" s="23"/>
      <c r="P658" s="23"/>
      <c r="Q658" s="23"/>
      <c r="R658" s="23"/>
      <c r="S658" s="23" t="s">
        <v>64</v>
      </c>
      <c r="T658" s="23"/>
      <c r="U658" s="23" t="s">
        <v>17</v>
      </c>
      <c r="V658" s="23"/>
      <c r="W658" s="33">
        <v>0.2</v>
      </c>
      <c r="Y658" t="s">
        <v>1343</v>
      </c>
      <c r="Z658" t="s">
        <v>53</v>
      </c>
      <c r="AA658" t="s">
        <v>51</v>
      </c>
      <c r="AB658" t="s">
        <v>1339</v>
      </c>
      <c r="AF658" t="s">
        <v>1437</v>
      </c>
      <c r="AG658" t="s">
        <v>58</v>
      </c>
      <c r="BX658" t="s">
        <v>1867</v>
      </c>
    </row>
    <row r="659" spans="1:80" hidden="1">
      <c r="A659" s="32" t="s">
        <v>1360</v>
      </c>
      <c r="B659" s="32" t="s">
        <v>74</v>
      </c>
      <c r="C659" s="23">
        <v>3</v>
      </c>
      <c r="D659" s="23">
        <v>3708400</v>
      </c>
      <c r="E659" s="23">
        <v>4</v>
      </c>
      <c r="F659" s="23"/>
      <c r="G659" s="23" t="s">
        <v>52</v>
      </c>
      <c r="H659" s="23"/>
      <c r="I659" s="23"/>
      <c r="J659" s="23"/>
      <c r="K659" s="23" t="s">
        <v>1348</v>
      </c>
      <c r="L659" s="23" t="s">
        <v>1338</v>
      </c>
      <c r="M659" s="23"/>
      <c r="N659" s="23"/>
      <c r="O659" s="23"/>
      <c r="P659" s="23"/>
      <c r="Q659" s="23"/>
      <c r="R659" s="23"/>
      <c r="S659" s="23" t="s">
        <v>64</v>
      </c>
      <c r="T659" s="23"/>
      <c r="U659" s="23" t="s">
        <v>17</v>
      </c>
      <c r="V659" s="23"/>
      <c r="W659" s="33">
        <v>0.1</v>
      </c>
      <c r="Y659" t="s">
        <v>1343</v>
      </c>
      <c r="Z659" t="s">
        <v>53</v>
      </c>
      <c r="AA659" t="s">
        <v>51</v>
      </c>
      <c r="AB659" t="s">
        <v>1339</v>
      </c>
      <c r="AF659" t="s">
        <v>1437</v>
      </c>
      <c r="AG659" t="s">
        <v>58</v>
      </c>
      <c r="BX659" t="s">
        <v>1868</v>
      </c>
      <c r="BY659">
        <v>32</v>
      </c>
      <c r="CB659" t="s">
        <v>1869</v>
      </c>
    </row>
    <row r="660" spans="1:80" hidden="1">
      <c r="A660" s="32" t="s">
        <v>1361</v>
      </c>
      <c r="B660" s="32" t="s">
        <v>74</v>
      </c>
      <c r="C660" s="23">
        <v>4</v>
      </c>
      <c r="D660" s="23">
        <v>24378600</v>
      </c>
      <c r="E660" s="23">
        <v>4</v>
      </c>
      <c r="F660" s="23"/>
      <c r="G660" s="23" t="s">
        <v>52</v>
      </c>
      <c r="H660" s="23" t="s">
        <v>1350</v>
      </c>
      <c r="I660" s="23"/>
      <c r="J660" s="23"/>
      <c r="K660" s="23" t="s">
        <v>1351</v>
      </c>
      <c r="L660" s="23" t="s">
        <v>1338</v>
      </c>
      <c r="M660" s="23"/>
      <c r="N660" s="23"/>
      <c r="O660" s="23"/>
      <c r="P660" s="23"/>
      <c r="Q660" s="23"/>
      <c r="R660" s="23"/>
      <c r="S660" s="23" t="s">
        <v>64</v>
      </c>
      <c r="T660" s="23"/>
      <c r="U660" s="23" t="s">
        <v>17</v>
      </c>
      <c r="V660" s="23"/>
      <c r="W660" s="33">
        <v>1.2999999999999999E-2</v>
      </c>
      <c r="Y660" t="s">
        <v>124</v>
      </c>
      <c r="Z660" t="s">
        <v>53</v>
      </c>
      <c r="AA660" t="s">
        <v>51</v>
      </c>
      <c r="AB660" t="s">
        <v>1339</v>
      </c>
      <c r="AF660" t="s">
        <v>1437</v>
      </c>
      <c r="AG660" t="s">
        <v>58</v>
      </c>
      <c r="BX660" t="s">
        <v>1713</v>
      </c>
      <c r="BY660" t="s">
        <v>1350</v>
      </c>
      <c r="BZ660" t="s">
        <v>1714</v>
      </c>
      <c r="CA660" s="76">
        <v>46242</v>
      </c>
      <c r="CB660" t="s">
        <v>1740</v>
      </c>
    </row>
    <row r="661" spans="1:80" hidden="1">
      <c r="A661" s="32" t="s">
        <v>1362</v>
      </c>
      <c r="B661" s="32" t="s">
        <v>74</v>
      </c>
      <c r="C661" s="23">
        <v>5</v>
      </c>
      <c r="D661" s="23">
        <v>3245800</v>
      </c>
      <c r="E661" s="23">
        <v>4</v>
      </c>
      <c r="F661" s="23"/>
      <c r="G661" s="23" t="s">
        <v>52</v>
      </c>
      <c r="H661" s="23">
        <v>8.4</v>
      </c>
      <c r="I661" s="23"/>
      <c r="J661" s="23"/>
      <c r="K661" s="23" t="s">
        <v>1353</v>
      </c>
      <c r="L661" s="23" t="s">
        <v>1338</v>
      </c>
      <c r="M661" s="23"/>
      <c r="N661" s="23"/>
      <c r="O661" s="23"/>
      <c r="P661" s="23"/>
      <c r="Q661" s="23"/>
      <c r="R661" s="23"/>
      <c r="S661" s="23" t="s">
        <v>64</v>
      </c>
      <c r="T661" s="23"/>
      <c r="U661" s="23" t="s">
        <v>17</v>
      </c>
      <c r="V661" s="23"/>
      <c r="W661" s="33">
        <v>2E-3</v>
      </c>
      <c r="Y661" t="s">
        <v>124</v>
      </c>
      <c r="Z661" t="s">
        <v>53</v>
      </c>
      <c r="AA661" t="s">
        <v>51</v>
      </c>
      <c r="AB661" t="s">
        <v>1339</v>
      </c>
      <c r="AF661" t="s">
        <v>1437</v>
      </c>
      <c r="AG661" t="s">
        <v>58</v>
      </c>
      <c r="BX661" t="s">
        <v>1719</v>
      </c>
      <c r="BY661">
        <v>8.4</v>
      </c>
      <c r="BZ661" t="s">
        <v>763</v>
      </c>
      <c r="CA661" t="s">
        <v>1720</v>
      </c>
      <c r="CB661" t="s">
        <v>1734</v>
      </c>
    </row>
    <row r="662" spans="1:80" hidden="1">
      <c r="A662" s="26" t="s">
        <v>1363</v>
      </c>
      <c r="B662" s="26" t="s">
        <v>62</v>
      </c>
      <c r="C662" s="27">
        <v>20</v>
      </c>
      <c r="D662" s="27" t="s">
        <v>1364</v>
      </c>
      <c r="E662" s="27">
        <v>1</v>
      </c>
      <c r="F662" s="27"/>
      <c r="G662" s="27" t="s">
        <v>52</v>
      </c>
      <c r="H662" s="27"/>
      <c r="I662" s="27"/>
      <c r="J662" s="27"/>
      <c r="K662" s="27" t="s">
        <v>1365</v>
      </c>
      <c r="L662" s="27" t="s">
        <v>1338</v>
      </c>
      <c r="M662" s="27"/>
      <c r="N662" s="27"/>
      <c r="O662" s="30"/>
      <c r="P662" s="30"/>
      <c r="Q662" s="30"/>
      <c r="R662" s="30"/>
      <c r="S662" s="30" t="s">
        <v>64</v>
      </c>
      <c r="T662" s="30"/>
      <c r="U662" s="30" t="s">
        <v>54</v>
      </c>
      <c r="V662" s="30"/>
      <c r="W662" s="28">
        <v>1.1000000000000001</v>
      </c>
      <c r="Y662" t="s">
        <v>40</v>
      </c>
      <c r="Z662" t="s">
        <v>53</v>
      </c>
      <c r="AA662" t="s">
        <v>51</v>
      </c>
      <c r="AB662" t="s">
        <v>1339</v>
      </c>
      <c r="AF662" t="s">
        <v>1437</v>
      </c>
      <c r="AG662" t="s">
        <v>58</v>
      </c>
      <c r="BX662" t="s">
        <v>1365</v>
      </c>
    </row>
    <row r="663" spans="1:80" ht="45" hidden="1" customHeight="1">
      <c r="A663" s="32" t="s">
        <v>1366</v>
      </c>
      <c r="B663" s="32" t="s">
        <v>74</v>
      </c>
      <c r="C663" s="23">
        <v>1</v>
      </c>
      <c r="D663" s="23" t="s">
        <v>1367</v>
      </c>
      <c r="E663" s="23">
        <v>2</v>
      </c>
      <c r="F663" s="23"/>
      <c r="G663" s="23" t="s">
        <v>52</v>
      </c>
      <c r="H663" s="23"/>
      <c r="I663" s="23"/>
      <c r="J663" s="23"/>
      <c r="K663" s="34" t="s">
        <v>1368</v>
      </c>
      <c r="L663" s="23" t="s">
        <v>1338</v>
      </c>
      <c r="M663" s="23"/>
      <c r="N663" s="23"/>
      <c r="O663" s="23"/>
      <c r="P663" s="23"/>
      <c r="Q663" s="23"/>
      <c r="R663" s="23"/>
      <c r="S663" s="23" t="s">
        <v>64</v>
      </c>
      <c r="T663" s="23"/>
      <c r="U663" s="23" t="s">
        <v>17</v>
      </c>
      <c r="V663" s="23"/>
      <c r="W663" s="33">
        <v>0.02</v>
      </c>
      <c r="Y663" t="s">
        <v>1343</v>
      </c>
      <c r="Z663" t="s">
        <v>53</v>
      </c>
      <c r="AA663" t="s">
        <v>51</v>
      </c>
      <c r="AB663" t="s">
        <v>1339</v>
      </c>
      <c r="AF663" t="s">
        <v>1437</v>
      </c>
      <c r="AG663" t="s">
        <v>58</v>
      </c>
      <c r="BX663" t="s">
        <v>1870</v>
      </c>
    </row>
    <row r="664" spans="1:80" hidden="1">
      <c r="A664" s="32" t="s">
        <v>1369</v>
      </c>
      <c r="B664" s="32" t="s">
        <v>74</v>
      </c>
      <c r="C664" s="23">
        <v>2</v>
      </c>
      <c r="D664" s="23" t="s">
        <v>1370</v>
      </c>
      <c r="E664" s="23">
        <v>2</v>
      </c>
      <c r="F664" s="23"/>
      <c r="G664" s="23" t="s">
        <v>52</v>
      </c>
      <c r="H664" s="23"/>
      <c r="I664" s="23"/>
      <c r="J664" s="23"/>
      <c r="K664" s="23" t="s">
        <v>1371</v>
      </c>
      <c r="L664" s="23" t="s">
        <v>1338</v>
      </c>
      <c r="M664" s="23"/>
      <c r="N664" s="23"/>
      <c r="O664" s="23"/>
      <c r="P664" s="23"/>
      <c r="Q664" s="23"/>
      <c r="R664" s="23"/>
      <c r="S664" s="23" t="s">
        <v>64</v>
      </c>
      <c r="T664" s="23"/>
      <c r="U664" s="23" t="s">
        <v>17</v>
      </c>
      <c r="V664" s="23"/>
      <c r="W664" s="33">
        <v>5.0000000000000001E-3</v>
      </c>
      <c r="Y664" t="s">
        <v>1343</v>
      </c>
      <c r="Z664" t="s">
        <v>53</v>
      </c>
      <c r="AA664" t="s">
        <v>51</v>
      </c>
      <c r="AB664" t="s">
        <v>1339</v>
      </c>
      <c r="AF664" t="s">
        <v>1437</v>
      </c>
      <c r="AG664" t="s">
        <v>58</v>
      </c>
      <c r="BX664" t="s">
        <v>1871</v>
      </c>
      <c r="BY664" t="s">
        <v>1872</v>
      </c>
    </row>
    <row r="665" spans="1:80" hidden="1">
      <c r="A665" s="32" t="s">
        <v>1372</v>
      </c>
      <c r="B665" s="32" t="s">
        <v>74</v>
      </c>
      <c r="C665" s="23">
        <v>3</v>
      </c>
      <c r="D665" s="23">
        <v>4825100</v>
      </c>
      <c r="E665" s="23">
        <v>2</v>
      </c>
      <c r="F665" s="23"/>
      <c r="G665" s="23" t="s">
        <v>52</v>
      </c>
      <c r="H665" s="23"/>
      <c r="I665" s="23"/>
      <c r="J665" s="23"/>
      <c r="K665" s="23" t="s">
        <v>1373</v>
      </c>
      <c r="L665" s="23" t="s">
        <v>1338</v>
      </c>
      <c r="M665" s="23"/>
      <c r="N665" s="23"/>
      <c r="O665" s="23"/>
      <c r="P665" s="23"/>
      <c r="Q665" s="23"/>
      <c r="R665" s="23"/>
      <c r="S665" s="23" t="s">
        <v>64</v>
      </c>
      <c r="T665" s="23"/>
      <c r="U665" s="23" t="s">
        <v>17</v>
      </c>
      <c r="V665" s="23"/>
      <c r="W665" s="33">
        <v>0</v>
      </c>
      <c r="Y665" t="s">
        <v>124</v>
      </c>
      <c r="Z665" t="s">
        <v>53</v>
      </c>
      <c r="AA665" t="s">
        <v>51</v>
      </c>
      <c r="AB665" t="s">
        <v>1339</v>
      </c>
      <c r="AF665" t="s">
        <v>1437</v>
      </c>
      <c r="AG665" t="s">
        <v>58</v>
      </c>
      <c r="BX665" t="s">
        <v>1706</v>
      </c>
      <c r="BY665" t="s">
        <v>1873</v>
      </c>
      <c r="BZ665" t="s">
        <v>1707</v>
      </c>
      <c r="CA665" t="s">
        <v>1874</v>
      </c>
      <c r="CB665" t="s">
        <v>1875</v>
      </c>
    </row>
    <row r="666" spans="1:80" hidden="1">
      <c r="A666" s="32" t="s">
        <v>1374</v>
      </c>
      <c r="B666" s="32" t="s">
        <v>74</v>
      </c>
      <c r="C666" s="23">
        <v>4</v>
      </c>
      <c r="D666" s="23">
        <v>24390000</v>
      </c>
      <c r="E666" s="23">
        <v>2</v>
      </c>
      <c r="F666" s="23"/>
      <c r="G666" s="23" t="s">
        <v>52</v>
      </c>
      <c r="H666" s="23"/>
      <c r="I666" s="23"/>
      <c r="J666" s="23"/>
      <c r="K666" s="23" t="s">
        <v>1375</v>
      </c>
      <c r="L666" s="23" t="s">
        <v>1338</v>
      </c>
      <c r="M666" s="23"/>
      <c r="N666" s="23"/>
      <c r="O666" s="23"/>
      <c r="P666" s="23"/>
      <c r="Q666" s="23"/>
      <c r="R666" s="23"/>
      <c r="S666" s="23" t="s">
        <v>64</v>
      </c>
      <c r="T666" s="23"/>
      <c r="U666" s="23" t="s">
        <v>17</v>
      </c>
      <c r="V666" s="23"/>
      <c r="W666" s="33">
        <v>1E-3</v>
      </c>
      <c r="Y666" t="s">
        <v>124</v>
      </c>
      <c r="Z666" t="s">
        <v>53</v>
      </c>
      <c r="AA666" t="s">
        <v>51</v>
      </c>
      <c r="AB666" t="s">
        <v>1339</v>
      </c>
      <c r="AF666" t="s">
        <v>1437</v>
      </c>
      <c r="AG666" t="s">
        <v>58</v>
      </c>
      <c r="BX666" t="s">
        <v>1719</v>
      </c>
      <c r="BY666">
        <v>6.4</v>
      </c>
      <c r="BZ666" t="s">
        <v>763</v>
      </c>
      <c r="CA666" t="s">
        <v>1720</v>
      </c>
      <c r="CB666" t="s">
        <v>1721</v>
      </c>
    </row>
    <row r="667" spans="1:80" hidden="1">
      <c r="A667" s="32" t="s">
        <v>1376</v>
      </c>
      <c r="B667" s="32" t="s">
        <v>74</v>
      </c>
      <c r="C667" s="23">
        <v>5</v>
      </c>
      <c r="D667" s="23">
        <v>4139700</v>
      </c>
      <c r="E667" s="23">
        <v>1</v>
      </c>
      <c r="F667" s="23"/>
      <c r="G667" s="23" t="s">
        <v>52</v>
      </c>
      <c r="H667" s="23"/>
      <c r="I667" s="23"/>
      <c r="J667" s="23"/>
      <c r="K667" s="23" t="s">
        <v>1342</v>
      </c>
      <c r="L667" s="23" t="s">
        <v>1338</v>
      </c>
      <c r="M667" s="23"/>
      <c r="N667" s="23"/>
      <c r="O667" s="23"/>
      <c r="P667" s="23"/>
      <c r="Q667" s="23"/>
      <c r="R667" s="23"/>
      <c r="S667" s="23" t="s">
        <v>64</v>
      </c>
      <c r="T667" s="23"/>
      <c r="U667" s="23" t="s">
        <v>17</v>
      </c>
      <c r="V667" s="23"/>
      <c r="W667" s="33">
        <v>0</v>
      </c>
      <c r="Y667" t="s">
        <v>1343</v>
      </c>
      <c r="Z667" t="s">
        <v>53</v>
      </c>
      <c r="AA667" t="s">
        <v>51</v>
      </c>
      <c r="AB667" t="s">
        <v>1339</v>
      </c>
      <c r="AF667" t="s">
        <v>1437</v>
      </c>
      <c r="AG667" t="s">
        <v>58</v>
      </c>
      <c r="BX667" t="s">
        <v>1863</v>
      </c>
      <c r="BY667" t="s">
        <v>1864</v>
      </c>
      <c r="BZ667" t="s">
        <v>1865</v>
      </c>
      <c r="CA667" t="s">
        <v>1866</v>
      </c>
    </row>
    <row r="668" spans="1:80" hidden="1">
      <c r="A668" s="32" t="s">
        <v>1377</v>
      </c>
      <c r="B668" s="32" t="s">
        <v>74</v>
      </c>
      <c r="C668" s="23">
        <v>6</v>
      </c>
      <c r="D668" s="23">
        <v>3708400</v>
      </c>
      <c r="E668" s="23">
        <v>2</v>
      </c>
      <c r="F668" s="23"/>
      <c r="G668" s="23" t="s">
        <v>52</v>
      </c>
      <c r="H668" s="23"/>
      <c r="I668" s="23"/>
      <c r="J668" s="23"/>
      <c r="K668" s="23" t="s">
        <v>1348</v>
      </c>
      <c r="L668" s="23" t="s">
        <v>1338</v>
      </c>
      <c r="M668" s="23"/>
      <c r="N668" s="23"/>
      <c r="O668" s="23"/>
      <c r="P668" s="23"/>
      <c r="Q668" s="23"/>
      <c r="R668" s="23"/>
      <c r="S668" s="23" t="s">
        <v>64</v>
      </c>
      <c r="T668" s="23"/>
      <c r="U668" s="23" t="s">
        <v>17</v>
      </c>
      <c r="V668" s="23"/>
      <c r="W668" s="33">
        <v>0.1</v>
      </c>
      <c r="Y668" t="s">
        <v>1343</v>
      </c>
      <c r="Z668" t="s">
        <v>53</v>
      </c>
      <c r="AA668" t="s">
        <v>51</v>
      </c>
      <c r="AB668" t="s">
        <v>1339</v>
      </c>
      <c r="AF668" t="s">
        <v>1437</v>
      </c>
      <c r="AG668" t="s">
        <v>58</v>
      </c>
      <c r="BX668" t="s">
        <v>1868</v>
      </c>
      <c r="BY668">
        <v>32</v>
      </c>
      <c r="CB668" t="s">
        <v>1869</v>
      </c>
    </row>
    <row r="669" spans="1:80" hidden="1">
      <c r="A669" s="32" t="s">
        <v>1378</v>
      </c>
      <c r="B669" s="32" t="s">
        <v>74</v>
      </c>
      <c r="C669" s="23">
        <v>7</v>
      </c>
      <c r="D669" s="23">
        <v>24398300</v>
      </c>
      <c r="E669" s="23">
        <v>2</v>
      </c>
      <c r="F669" s="23"/>
      <c r="G669" s="23" t="s">
        <v>52</v>
      </c>
      <c r="H669" s="23" t="s">
        <v>1379</v>
      </c>
      <c r="I669" s="23"/>
      <c r="J669" s="23"/>
      <c r="K669" s="23" t="s">
        <v>1380</v>
      </c>
      <c r="L669" s="23" t="s">
        <v>1338</v>
      </c>
      <c r="M669" s="23"/>
      <c r="N669" s="23"/>
      <c r="O669" s="23"/>
      <c r="P669" s="23"/>
      <c r="Q669" s="23"/>
      <c r="R669" s="23"/>
      <c r="S669" s="23" t="s">
        <v>64</v>
      </c>
      <c r="T669" s="23"/>
      <c r="U669" s="23" t="s">
        <v>17</v>
      </c>
      <c r="V669" s="23"/>
      <c r="W669" s="33">
        <v>2E-3</v>
      </c>
      <c r="Y669" t="s">
        <v>124</v>
      </c>
      <c r="Z669" t="s">
        <v>53</v>
      </c>
      <c r="AA669" t="s">
        <v>51</v>
      </c>
      <c r="AB669" t="s">
        <v>1339</v>
      </c>
      <c r="AF669" t="s">
        <v>1437</v>
      </c>
      <c r="AG669" t="s">
        <v>58</v>
      </c>
      <c r="BX669" t="s">
        <v>1717</v>
      </c>
      <c r="BY669" t="s">
        <v>1379</v>
      </c>
      <c r="BZ669" t="s">
        <v>1718</v>
      </c>
      <c r="CA669">
        <v>8</v>
      </c>
      <c r="CB669" t="s">
        <v>1740</v>
      </c>
    </row>
    <row r="670" spans="1:80" hidden="1">
      <c r="A670" s="44" t="s">
        <v>1381</v>
      </c>
      <c r="B670" s="44" t="s">
        <v>62</v>
      </c>
      <c r="C670" s="45">
        <v>21</v>
      </c>
      <c r="D670" s="45" t="s">
        <v>1382</v>
      </c>
      <c r="E670" s="45">
        <v>4</v>
      </c>
      <c r="F670" s="45"/>
      <c r="G670" s="45" t="s">
        <v>52</v>
      </c>
      <c r="H670" s="45"/>
      <c r="I670" s="45"/>
      <c r="J670" s="45"/>
      <c r="K670" s="45" t="s">
        <v>1383</v>
      </c>
      <c r="L670" s="45" t="s">
        <v>1338</v>
      </c>
      <c r="M670" s="45"/>
      <c r="N670" s="45"/>
      <c r="O670" s="45"/>
      <c r="P670" s="45"/>
      <c r="Q670" s="45"/>
      <c r="R670" s="45"/>
      <c r="S670" s="45" t="s">
        <v>64</v>
      </c>
      <c r="T670" s="45"/>
      <c r="U670" s="45" t="s">
        <v>17</v>
      </c>
      <c r="V670" s="45"/>
      <c r="W670" s="46">
        <v>0.3</v>
      </c>
      <c r="X670" s="47" t="s">
        <v>65</v>
      </c>
      <c r="Y670" t="s">
        <v>57</v>
      </c>
      <c r="Z670" t="s">
        <v>53</v>
      </c>
      <c r="AA670" t="s">
        <v>51</v>
      </c>
      <c r="AG670" t="s">
        <v>58</v>
      </c>
      <c r="BX670" t="s">
        <v>1876</v>
      </c>
      <c r="BY670" t="s">
        <v>1877</v>
      </c>
    </row>
    <row r="671" spans="1:80" hidden="1">
      <c r="A671" s="26" t="s">
        <v>1384</v>
      </c>
      <c r="B671" s="26" t="s">
        <v>62</v>
      </c>
      <c r="C671" s="27">
        <v>22</v>
      </c>
      <c r="D671" s="27" t="s">
        <v>1385</v>
      </c>
      <c r="E671" s="27">
        <v>1</v>
      </c>
      <c r="F671" s="27"/>
      <c r="G671" s="27" t="s">
        <v>52</v>
      </c>
      <c r="H671" s="27"/>
      <c r="I671" s="27"/>
      <c r="J671" s="27"/>
      <c r="K671" s="27" t="s">
        <v>1386</v>
      </c>
      <c r="L671" s="27" t="s">
        <v>1385</v>
      </c>
      <c r="M671" s="27">
        <v>3</v>
      </c>
      <c r="N671" s="27"/>
      <c r="O671" s="23"/>
      <c r="P671" s="23"/>
      <c r="Q671" s="23"/>
      <c r="R671" s="23"/>
      <c r="S671" s="23" t="s">
        <v>64</v>
      </c>
      <c r="T671" s="23"/>
      <c r="U671" s="23" t="s">
        <v>54</v>
      </c>
      <c r="V671" s="23"/>
      <c r="W671" s="28">
        <v>0.01</v>
      </c>
      <c r="Y671" t="s">
        <v>40</v>
      </c>
      <c r="Z671" t="s">
        <v>53</v>
      </c>
      <c r="AA671" t="s">
        <v>51</v>
      </c>
      <c r="AG671" t="s">
        <v>58</v>
      </c>
      <c r="BX671" t="s">
        <v>1386</v>
      </c>
    </row>
    <row r="672" spans="1:80" hidden="1">
      <c r="A672" s="44" t="s">
        <v>1387</v>
      </c>
      <c r="B672" s="44" t="s">
        <v>74</v>
      </c>
      <c r="C672" s="45">
        <v>1</v>
      </c>
      <c r="D672" s="45">
        <v>4151300</v>
      </c>
      <c r="E672" s="45">
        <v>2</v>
      </c>
      <c r="F672" s="45"/>
      <c r="G672" s="45" t="s">
        <v>52</v>
      </c>
      <c r="H672" s="45"/>
      <c r="I672" s="45"/>
      <c r="J672" s="45"/>
      <c r="K672" s="45" t="s">
        <v>1388</v>
      </c>
      <c r="L672" s="45" t="s">
        <v>1385</v>
      </c>
      <c r="M672" s="45"/>
      <c r="N672" s="45"/>
      <c r="O672" s="45"/>
      <c r="P672" s="45"/>
      <c r="Q672" s="45"/>
      <c r="R672" s="45"/>
      <c r="S672" s="45" t="s">
        <v>64</v>
      </c>
      <c r="T672" s="45"/>
      <c r="U672" s="45" t="s">
        <v>17</v>
      </c>
      <c r="V672" s="45"/>
      <c r="W672" s="46">
        <v>0.01</v>
      </c>
      <c r="X672" s="47" t="s">
        <v>65</v>
      </c>
      <c r="Y672" t="s">
        <v>57</v>
      </c>
      <c r="Z672" t="s">
        <v>53</v>
      </c>
      <c r="AA672" t="s">
        <v>51</v>
      </c>
      <c r="AG672" t="s">
        <v>58</v>
      </c>
      <c r="BX672" t="s">
        <v>1878</v>
      </c>
      <c r="BY672" t="s">
        <v>1879</v>
      </c>
      <c r="BZ672" t="s">
        <v>1880</v>
      </c>
    </row>
    <row r="673" spans="1:80" hidden="1">
      <c r="A673" s="44" t="s">
        <v>1389</v>
      </c>
      <c r="B673" s="44" t="s">
        <v>74</v>
      </c>
      <c r="C673" s="45">
        <v>2</v>
      </c>
      <c r="D673" s="45">
        <v>4151500</v>
      </c>
      <c r="E673" s="45">
        <v>2</v>
      </c>
      <c r="F673" s="45"/>
      <c r="G673" s="45" t="s">
        <v>52</v>
      </c>
      <c r="H673" s="45"/>
      <c r="I673" s="45"/>
      <c r="J673" s="45"/>
      <c r="K673" s="45" t="s">
        <v>1390</v>
      </c>
      <c r="L673" s="45" t="s">
        <v>1385</v>
      </c>
      <c r="M673" s="45"/>
      <c r="N673" s="45"/>
      <c r="O673" s="45"/>
      <c r="P673" s="45"/>
      <c r="Q673" s="45"/>
      <c r="R673" s="45"/>
      <c r="S673" s="45" t="s">
        <v>64</v>
      </c>
      <c r="T673" s="45"/>
      <c r="U673" s="45" t="s">
        <v>17</v>
      </c>
      <c r="V673" s="45"/>
      <c r="W673" s="46">
        <v>1E-3</v>
      </c>
      <c r="X673" s="47" t="s">
        <v>65</v>
      </c>
      <c r="Y673" t="s">
        <v>57</v>
      </c>
      <c r="Z673" t="s">
        <v>53</v>
      </c>
      <c r="AA673" t="s">
        <v>51</v>
      </c>
      <c r="AG673" t="s">
        <v>58</v>
      </c>
      <c r="BX673" t="s">
        <v>1878</v>
      </c>
      <c r="BY673" t="s">
        <v>1881</v>
      </c>
      <c r="BZ673" t="s">
        <v>1882</v>
      </c>
    </row>
    <row r="674" spans="1:80" hidden="1">
      <c r="A674" s="44" t="s">
        <v>1391</v>
      </c>
      <c r="B674" s="44" t="s">
        <v>74</v>
      </c>
      <c r="C674" s="45">
        <v>3</v>
      </c>
      <c r="D674" s="45">
        <v>4152800</v>
      </c>
      <c r="E674" s="45">
        <v>2</v>
      </c>
      <c r="F674" s="45"/>
      <c r="G674" s="45" t="s">
        <v>52</v>
      </c>
      <c r="H674" s="45"/>
      <c r="I674" s="45"/>
      <c r="J674" s="45"/>
      <c r="K674" s="45" t="s">
        <v>1392</v>
      </c>
      <c r="L674" s="45" t="s">
        <v>1385</v>
      </c>
      <c r="M674" s="45"/>
      <c r="N674" s="45"/>
      <c r="O674" s="45"/>
      <c r="P674" s="45"/>
      <c r="Q674" s="45"/>
      <c r="R674" s="45"/>
      <c r="S674" s="45" t="s">
        <v>64</v>
      </c>
      <c r="T674" s="45"/>
      <c r="U674" s="45" t="s">
        <v>17</v>
      </c>
      <c r="V674" s="45"/>
      <c r="W674" s="46">
        <v>1E-3</v>
      </c>
      <c r="X674" s="47" t="s">
        <v>65</v>
      </c>
      <c r="Y674" t="s">
        <v>57</v>
      </c>
      <c r="Z674" t="s">
        <v>53</v>
      </c>
      <c r="AA674" t="s">
        <v>51</v>
      </c>
      <c r="AG674" t="s">
        <v>58</v>
      </c>
      <c r="BX674" t="s">
        <v>1878</v>
      </c>
      <c r="BY674" t="s">
        <v>1883</v>
      </c>
      <c r="BZ674" t="s">
        <v>1884</v>
      </c>
    </row>
    <row r="675" spans="1:80" hidden="1">
      <c r="A675" s="44" t="s">
        <v>1393</v>
      </c>
      <c r="B675" s="44" t="s">
        <v>74</v>
      </c>
      <c r="C675" s="45">
        <v>4</v>
      </c>
      <c r="D675" s="45">
        <v>4152900</v>
      </c>
      <c r="E675" s="45">
        <v>2</v>
      </c>
      <c r="F675" s="45"/>
      <c r="G675" s="45" t="s">
        <v>52</v>
      </c>
      <c r="H675" s="45"/>
      <c r="I675" s="45"/>
      <c r="J675" s="45"/>
      <c r="K675" s="45" t="s">
        <v>1394</v>
      </c>
      <c r="L675" s="45" t="s">
        <v>1385</v>
      </c>
      <c r="M675" s="45"/>
      <c r="N675" s="45"/>
      <c r="O675" s="45"/>
      <c r="P675" s="45"/>
      <c r="Q675" s="45"/>
      <c r="R675" s="45"/>
      <c r="S675" s="45" t="s">
        <v>64</v>
      </c>
      <c r="T675" s="45"/>
      <c r="U675" s="45" t="s">
        <v>17</v>
      </c>
      <c r="V675" s="45"/>
      <c r="W675" s="46">
        <v>1E-3</v>
      </c>
      <c r="X675" s="47" t="s">
        <v>65</v>
      </c>
      <c r="Y675" t="s">
        <v>57</v>
      </c>
      <c r="Z675" t="s">
        <v>53</v>
      </c>
      <c r="AA675" t="s">
        <v>51</v>
      </c>
      <c r="AG675" t="s">
        <v>58</v>
      </c>
      <c r="BX675" t="s">
        <v>1878</v>
      </c>
      <c r="BY675" t="s">
        <v>1883</v>
      </c>
      <c r="BZ675" t="s">
        <v>1885</v>
      </c>
    </row>
    <row r="676" spans="1:80" hidden="1">
      <c r="A676" s="44" t="s">
        <v>1395</v>
      </c>
      <c r="B676" s="44" t="s">
        <v>74</v>
      </c>
      <c r="C676" s="45">
        <v>5</v>
      </c>
      <c r="D676" s="45">
        <v>3318900</v>
      </c>
      <c r="E676" s="45">
        <v>4</v>
      </c>
      <c r="F676" s="45"/>
      <c r="G676" s="45" t="s">
        <v>52</v>
      </c>
      <c r="H676" s="45"/>
      <c r="I676" s="45"/>
      <c r="J676" s="45"/>
      <c r="K676" s="45" t="s">
        <v>1396</v>
      </c>
      <c r="L676" s="45" t="s">
        <v>1385</v>
      </c>
      <c r="M676" s="45"/>
      <c r="N676" s="45"/>
      <c r="O676" s="45"/>
      <c r="P676" s="45"/>
      <c r="Q676" s="45"/>
      <c r="R676" s="45"/>
      <c r="S676" s="45" t="s">
        <v>64</v>
      </c>
      <c r="T676" s="45"/>
      <c r="U676" s="45" t="s">
        <v>17</v>
      </c>
      <c r="V676" s="45"/>
      <c r="W676" s="46">
        <v>1E-3</v>
      </c>
      <c r="X676" s="47" t="s">
        <v>65</v>
      </c>
      <c r="Y676" t="s">
        <v>57</v>
      </c>
      <c r="Z676" t="s">
        <v>53</v>
      </c>
      <c r="AA676" t="s">
        <v>51</v>
      </c>
      <c r="AG676" t="s">
        <v>58</v>
      </c>
      <c r="BX676" t="s">
        <v>1878</v>
      </c>
      <c r="BY676" t="s">
        <v>1886</v>
      </c>
      <c r="BZ676" t="s">
        <v>1887</v>
      </c>
    </row>
    <row r="677" spans="1:80" hidden="1">
      <c r="A677" s="44" t="s">
        <v>1397</v>
      </c>
      <c r="B677" s="44" t="s">
        <v>74</v>
      </c>
      <c r="C677" s="45">
        <v>6</v>
      </c>
      <c r="D677" s="45">
        <v>4154700</v>
      </c>
      <c r="E677" s="45">
        <v>2</v>
      </c>
      <c r="F677" s="45"/>
      <c r="G677" s="45" t="s">
        <v>52</v>
      </c>
      <c r="H677" s="45"/>
      <c r="I677" s="45"/>
      <c r="J677" s="45"/>
      <c r="K677" s="45" t="s">
        <v>1398</v>
      </c>
      <c r="L677" s="45" t="s">
        <v>1385</v>
      </c>
      <c r="M677" s="45"/>
      <c r="N677" s="45"/>
      <c r="O677" s="45"/>
      <c r="P677" s="45"/>
      <c r="Q677" s="45"/>
      <c r="R677" s="45"/>
      <c r="S677" s="45" t="s">
        <v>64</v>
      </c>
      <c r="T677" s="45"/>
      <c r="U677" s="45" t="s">
        <v>17</v>
      </c>
      <c r="V677" s="45"/>
      <c r="W677" s="46">
        <v>1E-3</v>
      </c>
      <c r="X677" s="47" t="s">
        <v>65</v>
      </c>
      <c r="Y677" t="s">
        <v>57</v>
      </c>
      <c r="Z677" t="s">
        <v>53</v>
      </c>
      <c r="AA677" t="s">
        <v>51</v>
      </c>
      <c r="AG677" t="s">
        <v>58</v>
      </c>
      <c r="BX677" t="s">
        <v>1878</v>
      </c>
      <c r="BY677" t="s">
        <v>1888</v>
      </c>
      <c r="BZ677" t="s">
        <v>1889</v>
      </c>
    </row>
    <row r="678" spans="1:80" hidden="1">
      <c r="A678" s="44" t="s">
        <v>1399</v>
      </c>
      <c r="B678" s="44" t="s">
        <v>74</v>
      </c>
      <c r="C678" s="45">
        <v>7</v>
      </c>
      <c r="D678" s="45">
        <v>4155300</v>
      </c>
      <c r="E678" s="45">
        <v>2</v>
      </c>
      <c r="F678" s="45"/>
      <c r="G678" s="45" t="s">
        <v>52</v>
      </c>
      <c r="H678" s="45"/>
      <c r="I678" s="45"/>
      <c r="J678" s="45"/>
      <c r="K678" s="45" t="s">
        <v>1400</v>
      </c>
      <c r="L678" s="45" t="s">
        <v>1385</v>
      </c>
      <c r="M678" s="45"/>
      <c r="N678" s="45"/>
      <c r="O678" s="45"/>
      <c r="P678" s="45"/>
      <c r="Q678" s="45"/>
      <c r="R678" s="45"/>
      <c r="S678" s="45" t="s">
        <v>64</v>
      </c>
      <c r="T678" s="45"/>
      <c r="U678" s="45" t="s">
        <v>17</v>
      </c>
      <c r="V678" s="45"/>
      <c r="W678" s="46">
        <v>1E-3</v>
      </c>
      <c r="X678" s="47" t="s">
        <v>65</v>
      </c>
      <c r="Y678" t="s">
        <v>57</v>
      </c>
      <c r="Z678" t="s">
        <v>53</v>
      </c>
      <c r="AA678" t="s">
        <v>51</v>
      </c>
      <c r="AG678" t="s">
        <v>58</v>
      </c>
      <c r="BX678" t="s">
        <v>1878</v>
      </c>
      <c r="BY678" t="s">
        <v>1890</v>
      </c>
      <c r="BZ678" t="s">
        <v>1891</v>
      </c>
    </row>
    <row r="679" spans="1:80" hidden="1">
      <c r="A679" s="48" t="s">
        <v>1401</v>
      </c>
      <c r="B679" s="48" t="s">
        <v>62</v>
      </c>
      <c r="C679" s="49">
        <v>23</v>
      </c>
      <c r="D679" s="49" t="s">
        <v>1402</v>
      </c>
      <c r="E679" s="49">
        <v>1</v>
      </c>
      <c r="F679" s="49"/>
      <c r="G679" s="49" t="s">
        <v>52</v>
      </c>
      <c r="H679" s="49" t="s">
        <v>1403</v>
      </c>
      <c r="I679" s="49"/>
      <c r="J679" s="49"/>
      <c r="K679" s="49" t="s">
        <v>1404</v>
      </c>
      <c r="L679" s="49" t="s">
        <v>1402</v>
      </c>
      <c r="M679" s="49">
        <v>3</v>
      </c>
      <c r="N679" s="49" t="s">
        <v>763</v>
      </c>
      <c r="O679" s="45"/>
      <c r="P679" s="45"/>
      <c r="Q679" s="45"/>
      <c r="R679" s="45"/>
      <c r="S679" s="45" t="s">
        <v>64</v>
      </c>
      <c r="T679" s="45"/>
      <c r="U679" s="45" t="s">
        <v>54</v>
      </c>
      <c r="V679" s="45"/>
      <c r="W679" s="50">
        <v>0.03</v>
      </c>
      <c r="X679" s="47" t="s">
        <v>65</v>
      </c>
      <c r="Y679" t="s">
        <v>57</v>
      </c>
      <c r="Z679" t="s">
        <v>53</v>
      </c>
      <c r="AA679" t="s">
        <v>51</v>
      </c>
      <c r="AG679" t="s">
        <v>58</v>
      </c>
      <c r="BX679" t="s">
        <v>1892</v>
      </c>
      <c r="BY679" t="s">
        <v>1893</v>
      </c>
    </row>
    <row r="680" spans="1:80" hidden="1">
      <c r="A680" s="20" t="s">
        <v>1405</v>
      </c>
      <c r="B680" s="20" t="s">
        <v>62</v>
      </c>
      <c r="C680" s="21">
        <v>24</v>
      </c>
      <c r="D680" s="21">
        <v>1151300</v>
      </c>
      <c r="E680" s="21">
        <v>2</v>
      </c>
      <c r="F680" s="21"/>
      <c r="G680" s="21" t="s">
        <v>52</v>
      </c>
      <c r="H680" s="21" t="s">
        <v>1406</v>
      </c>
      <c r="I680" s="21"/>
      <c r="J680" s="21"/>
      <c r="K680" s="21" t="s">
        <v>1407</v>
      </c>
      <c r="L680" s="21" t="s">
        <v>1402</v>
      </c>
      <c r="M680" s="21"/>
      <c r="N680" s="21"/>
      <c r="O680" s="23"/>
      <c r="P680" s="23"/>
      <c r="Q680" s="23"/>
      <c r="R680" s="23"/>
      <c r="S680" s="23" t="s">
        <v>64</v>
      </c>
      <c r="T680" s="23"/>
      <c r="U680" s="23" t="s">
        <v>17</v>
      </c>
      <c r="V680" s="23"/>
      <c r="W680" s="24">
        <v>0</v>
      </c>
      <c r="Y680" t="s">
        <v>124</v>
      </c>
      <c r="Z680" t="s">
        <v>53</v>
      </c>
      <c r="AA680" t="s">
        <v>51</v>
      </c>
      <c r="AF680" t="s">
        <v>1438</v>
      </c>
      <c r="AG680" t="s">
        <v>58</v>
      </c>
      <c r="BX680" t="s">
        <v>1713</v>
      </c>
      <c r="BY680" t="s">
        <v>1406</v>
      </c>
      <c r="BZ680" t="s">
        <v>1714</v>
      </c>
      <c r="CA680" s="76">
        <v>46242</v>
      </c>
      <c r="CB680" t="s">
        <v>1740</v>
      </c>
    </row>
    <row r="681" spans="1:80" hidden="1">
      <c r="A681" s="51" t="s">
        <v>1408</v>
      </c>
      <c r="B681" s="51" t="s">
        <v>62</v>
      </c>
      <c r="C681" s="52">
        <v>25</v>
      </c>
      <c r="D681" s="52">
        <v>24398300</v>
      </c>
      <c r="E681" s="52">
        <v>2</v>
      </c>
      <c r="F681" s="52"/>
      <c r="G681" s="52" t="s">
        <v>52</v>
      </c>
      <c r="H681" s="52" t="s">
        <v>1379</v>
      </c>
      <c r="I681" s="52"/>
      <c r="J681" s="52"/>
      <c r="K681" s="52" t="s">
        <v>1380</v>
      </c>
      <c r="L681" s="52" t="s">
        <v>1402</v>
      </c>
      <c r="M681" s="52"/>
      <c r="N681" s="52"/>
      <c r="O681" s="53"/>
      <c r="P681" s="53"/>
      <c r="Q681" s="53"/>
      <c r="R681" s="53"/>
      <c r="S681" s="53" t="s">
        <v>64</v>
      </c>
      <c r="T681" s="53"/>
      <c r="U681" s="53" t="s">
        <v>17</v>
      </c>
      <c r="V681" s="53"/>
      <c r="W681" s="54">
        <v>2E-3</v>
      </c>
      <c r="Y681" t="s">
        <v>124</v>
      </c>
      <c r="Z681" t="s">
        <v>53</v>
      </c>
      <c r="AA681" t="s">
        <v>51</v>
      </c>
      <c r="AF681" t="s">
        <v>1438</v>
      </c>
      <c r="AG681" t="s">
        <v>58</v>
      </c>
      <c r="BX681" t="s">
        <v>1717</v>
      </c>
      <c r="BY681" t="s">
        <v>1379</v>
      </c>
      <c r="BZ681" t="s">
        <v>1718</v>
      </c>
      <c r="CA681">
        <v>8</v>
      </c>
      <c r="CB681" t="s">
        <v>1740</v>
      </c>
    </row>
    <row r="682" spans="1:80" ht="15.75" hidden="1" customHeight="1">
      <c r="A682" s="55" t="s">
        <v>1409</v>
      </c>
      <c r="B682" s="55" t="s">
        <v>62</v>
      </c>
      <c r="C682" s="56">
        <v>26</v>
      </c>
      <c r="D682" s="56">
        <v>3369300</v>
      </c>
      <c r="E682" s="56">
        <v>4</v>
      </c>
      <c r="F682" s="56"/>
      <c r="G682" s="56" t="s">
        <v>52</v>
      </c>
      <c r="H682" s="56"/>
      <c r="I682" s="56"/>
      <c r="J682" s="56"/>
      <c r="K682" s="56" t="s">
        <v>683</v>
      </c>
      <c r="L682" s="56" t="s">
        <v>1402</v>
      </c>
      <c r="M682" s="56"/>
      <c r="N682" s="56"/>
      <c r="O682" s="57"/>
      <c r="P682" s="57"/>
      <c r="Q682" s="57"/>
      <c r="R682" s="57"/>
      <c r="S682" s="57" t="s">
        <v>64</v>
      </c>
      <c r="T682" s="57"/>
      <c r="U682" s="57" t="s">
        <v>17</v>
      </c>
      <c r="V682" s="57"/>
      <c r="W682" s="58">
        <v>1E-3</v>
      </c>
      <c r="Y682" t="s">
        <v>124</v>
      </c>
      <c r="Z682" t="s">
        <v>53</v>
      </c>
      <c r="AA682" t="s">
        <v>51</v>
      </c>
      <c r="AF682" t="s">
        <v>1438</v>
      </c>
      <c r="AG682" t="s">
        <v>58</v>
      </c>
      <c r="BX682" t="s">
        <v>1719</v>
      </c>
      <c r="BY682">
        <v>6.4</v>
      </c>
      <c r="BZ682" t="s">
        <v>763</v>
      </c>
      <c r="CA682" t="s">
        <v>1720</v>
      </c>
      <c r="CB682" t="s">
        <v>1798</v>
      </c>
    </row>
    <row r="683" spans="1:80" hidden="1">
      <c r="A683" t="s">
        <v>1410</v>
      </c>
      <c r="W683" s="25"/>
      <c r="AG683" t="s">
        <v>58</v>
      </c>
    </row>
  </sheetData>
  <autoFilter ref="A1:CU683" xr:uid="{00000000-0001-0000-0000-000000000000}">
    <filterColumn colId="38">
      <filters>
        <filter val="RYSUJ"/>
        <filter val="Z BAZY"/>
      </filters>
    </filterColumn>
  </autoFilter>
  <conditionalFormatting sqref="AI34:AI615">
    <cfRule type="duplicateValues" dxfId="0" priority="1"/>
  </conditionalFormatting>
  <pageMargins left="0.75" right="0.75" top="1" bottom="1" header="0.5" footer="0.5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E77C-1E07-4FFA-97F5-E94C27F03067}">
  <dimension ref="A1:F42"/>
  <sheetViews>
    <sheetView workbookViewId="0">
      <selection activeCell="F3" sqref="F3:F32"/>
    </sheetView>
  </sheetViews>
  <sheetFormatPr defaultRowHeight="14.4"/>
  <cols>
    <col min="6" max="6" width="36.109375" bestFit="1" customWidth="1"/>
  </cols>
  <sheetData>
    <row r="1" spans="1:6">
      <c r="A1" s="64" t="s">
        <v>1444</v>
      </c>
    </row>
    <row r="2" spans="1:6">
      <c r="A2" s="64" t="s">
        <v>1446</v>
      </c>
      <c r="F2" s="77" t="s">
        <v>1939</v>
      </c>
    </row>
    <row r="3" spans="1:6">
      <c r="A3" s="64" t="s">
        <v>1448</v>
      </c>
      <c r="F3" s="78" t="s">
        <v>1658</v>
      </c>
    </row>
    <row r="4" spans="1:6">
      <c r="A4" s="64" t="s">
        <v>1478</v>
      </c>
      <c r="F4" s="78" t="s">
        <v>1645</v>
      </c>
    </row>
    <row r="5" spans="1:6">
      <c r="A5" s="64" t="s">
        <v>1478</v>
      </c>
      <c r="F5" s="78" t="s">
        <v>1647</v>
      </c>
    </row>
    <row r="6" spans="1:6">
      <c r="A6" s="64" t="s">
        <v>1512</v>
      </c>
      <c r="F6" s="78" t="s">
        <v>1516</v>
      </c>
    </row>
    <row r="7" spans="1:6">
      <c r="A7" s="64" t="s">
        <v>1514</v>
      </c>
      <c r="F7" s="78" t="s">
        <v>1446</v>
      </c>
    </row>
    <row r="8" spans="1:6">
      <c r="A8" s="64" t="s">
        <v>1512</v>
      </c>
      <c r="F8" s="78" t="s">
        <v>1528</v>
      </c>
    </row>
    <row r="9" spans="1:6">
      <c r="A9" s="64" t="s">
        <v>1514</v>
      </c>
      <c r="F9" s="78" t="s">
        <v>1526</v>
      </c>
    </row>
    <row r="10" spans="1:6">
      <c r="A10" s="64" t="s">
        <v>1516</v>
      </c>
      <c r="F10" s="78" t="s">
        <v>1552</v>
      </c>
    </row>
    <row r="11" spans="1:6">
      <c r="A11" s="64" t="s">
        <v>1526</v>
      </c>
      <c r="F11" s="78" t="s">
        <v>1594</v>
      </c>
    </row>
    <row r="12" spans="1:6">
      <c r="A12" s="64" t="s">
        <v>1528</v>
      </c>
      <c r="F12" s="78" t="s">
        <v>1570</v>
      </c>
    </row>
    <row r="13" spans="1:6">
      <c r="A13" s="64" t="s">
        <v>1530</v>
      </c>
      <c r="F13" s="78" t="s">
        <v>1653</v>
      </c>
    </row>
    <row r="14" spans="1:6">
      <c r="A14" s="64" t="s">
        <v>1526</v>
      </c>
      <c r="F14" s="78" t="s">
        <v>1655</v>
      </c>
    </row>
    <row r="15" spans="1:6">
      <c r="A15" s="64" t="s">
        <v>1528</v>
      </c>
      <c r="F15" s="78" t="s">
        <v>1530</v>
      </c>
    </row>
    <row r="16" spans="1:6">
      <c r="A16" s="64" t="s">
        <v>1530</v>
      </c>
      <c r="F16" s="78" t="s">
        <v>1548</v>
      </c>
    </row>
    <row r="17" spans="1:6">
      <c r="A17" s="64" t="s">
        <v>1548</v>
      </c>
      <c r="F17" s="78" t="s">
        <v>1478</v>
      </c>
    </row>
    <row r="18" spans="1:6">
      <c r="A18" s="64" t="s">
        <v>1550</v>
      </c>
      <c r="F18" s="78" t="s">
        <v>1566</v>
      </c>
    </row>
    <row r="19" spans="1:6">
      <c r="A19" s="64" t="s">
        <v>1552</v>
      </c>
      <c r="F19" s="78" t="s">
        <v>1649</v>
      </c>
    </row>
    <row r="20" spans="1:6">
      <c r="A20" s="64" t="s">
        <v>1550</v>
      </c>
      <c r="F20" s="78" t="s">
        <v>1558</v>
      </c>
    </row>
    <row r="21" spans="1:6">
      <c r="A21" s="64" t="s">
        <v>1552</v>
      </c>
      <c r="F21" s="78" t="s">
        <v>1651</v>
      </c>
    </row>
    <row r="22" spans="1:6">
      <c r="A22" s="64" t="s">
        <v>1558</v>
      </c>
      <c r="F22" s="78" t="s">
        <v>1662</v>
      </c>
    </row>
    <row r="23" spans="1:6">
      <c r="A23" s="64" t="s">
        <v>1566</v>
      </c>
      <c r="F23" s="78" t="s">
        <v>1668</v>
      </c>
    </row>
    <row r="24" spans="1:6">
      <c r="A24" s="64" t="s">
        <v>1570</v>
      </c>
      <c r="F24" s="78" t="s">
        <v>1550</v>
      </c>
    </row>
    <row r="25" spans="1:6">
      <c r="A25" s="64" t="s">
        <v>1572</v>
      </c>
      <c r="F25" s="78" t="s">
        <v>1614</v>
      </c>
    </row>
    <row r="26" spans="1:6">
      <c r="A26" s="64" t="s">
        <v>1594</v>
      </c>
      <c r="F26" s="78" t="s">
        <v>1612</v>
      </c>
    </row>
    <row r="27" spans="1:6">
      <c r="A27" s="64" t="s">
        <v>1596</v>
      </c>
      <c r="F27" s="78" t="s">
        <v>1596</v>
      </c>
    </row>
    <row r="28" spans="1:6">
      <c r="A28" s="64" t="s">
        <v>1610</v>
      </c>
      <c r="F28" s="78" t="s">
        <v>1512</v>
      </c>
    </row>
    <row r="29" spans="1:6">
      <c r="A29" s="64" t="s">
        <v>1612</v>
      </c>
      <c r="F29" s="78" t="s">
        <v>1514</v>
      </c>
    </row>
    <row r="30" spans="1:6">
      <c r="A30" s="64" t="s">
        <v>1614</v>
      </c>
      <c r="F30" s="78" t="s">
        <v>1448</v>
      </c>
    </row>
    <row r="31" spans="1:6">
      <c r="A31" s="64" t="s">
        <v>1645</v>
      </c>
      <c r="F31" s="78" t="s">
        <v>1572</v>
      </c>
    </row>
    <row r="32" spans="1:6">
      <c r="A32" s="64" t="s">
        <v>1647</v>
      </c>
      <c r="F32" s="78" t="s">
        <v>1610</v>
      </c>
    </row>
    <row r="33" spans="1:6">
      <c r="A33" s="64" t="s">
        <v>1645</v>
      </c>
      <c r="F33" s="78" t="s">
        <v>1940</v>
      </c>
    </row>
    <row r="34" spans="1:6">
      <c r="A34" s="64" t="s">
        <v>1647</v>
      </c>
      <c r="F34" s="78" t="s">
        <v>1941</v>
      </c>
    </row>
    <row r="35" spans="1:6">
      <c r="A35" s="64" t="s">
        <v>1649</v>
      </c>
    </row>
    <row r="36" spans="1:6">
      <c r="A36" s="64" t="s">
        <v>1651</v>
      </c>
    </row>
    <row r="37" spans="1:6">
      <c r="A37" s="64" t="s">
        <v>1653</v>
      </c>
    </row>
    <row r="38" spans="1:6">
      <c r="A38" s="64" t="s">
        <v>1655</v>
      </c>
    </row>
    <row r="39" spans="1:6">
      <c r="A39" s="64" t="s">
        <v>1658</v>
      </c>
    </row>
    <row r="40" spans="1:6">
      <c r="A40" s="64" t="s">
        <v>1662</v>
      </c>
    </row>
    <row r="41" spans="1:6">
      <c r="A41" s="64" t="s">
        <v>1668</v>
      </c>
    </row>
    <row r="42" spans="1:6">
      <c r="A42" s="6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6"/>
  <sheetViews>
    <sheetView workbookViewId="0">
      <pane ySplit="1" topLeftCell="A2" activePane="bottomLeft" state="frozen"/>
      <selection pane="bottomLeft" activeCell="D12" sqref="D12"/>
    </sheetView>
  </sheetViews>
  <sheetFormatPr defaultRowHeight="14.4"/>
  <cols>
    <col min="1" max="1" width="60" style="69" customWidth="1"/>
    <col min="2" max="2" width="10" customWidth="1"/>
    <col min="4" max="4" width="60" customWidth="1"/>
    <col min="5" max="5" width="10" customWidth="1"/>
  </cols>
  <sheetData>
    <row r="1" spans="1:5" ht="15" thickBot="1">
      <c r="A1" s="67" t="s">
        <v>1441</v>
      </c>
      <c r="D1" s="60" t="s">
        <v>1442</v>
      </c>
    </row>
    <row r="3" spans="1:5">
      <c r="A3" s="75" t="s">
        <v>1411</v>
      </c>
      <c r="B3" s="74" t="s">
        <v>1412</v>
      </c>
      <c r="D3" s="74" t="s">
        <v>1411</v>
      </c>
      <c r="E3" s="74" t="s">
        <v>1412</v>
      </c>
    </row>
    <row r="4" spans="1:5">
      <c r="A4" s="73" t="s">
        <v>1312</v>
      </c>
      <c r="B4" s="66">
        <v>20</v>
      </c>
      <c r="D4" s="72" t="s">
        <v>683</v>
      </c>
      <c r="E4" s="66">
        <v>4</v>
      </c>
    </row>
    <row r="5" spans="1:5">
      <c r="A5" s="73" t="s">
        <v>1242</v>
      </c>
      <c r="B5" s="66">
        <v>8</v>
      </c>
      <c r="D5" s="72" t="s">
        <v>1282</v>
      </c>
      <c r="E5" s="66">
        <v>32</v>
      </c>
    </row>
    <row r="6" spans="1:5">
      <c r="A6" s="73" t="s">
        <v>848</v>
      </c>
      <c r="B6" s="66">
        <v>8</v>
      </c>
      <c r="D6" s="72" t="s">
        <v>129</v>
      </c>
      <c r="E6" s="66">
        <v>12</v>
      </c>
    </row>
    <row r="7" spans="1:5">
      <c r="A7" s="73" t="s">
        <v>699</v>
      </c>
      <c r="B7" s="66">
        <v>8</v>
      </c>
      <c r="D7" s="72" t="s">
        <v>1380</v>
      </c>
      <c r="E7" s="66">
        <v>2</v>
      </c>
    </row>
    <row r="8" spans="1:5">
      <c r="A8" s="73" t="s">
        <v>803</v>
      </c>
      <c r="B8" s="66">
        <v>48</v>
      </c>
      <c r="D8" s="72" t="s">
        <v>230</v>
      </c>
      <c r="E8" s="66">
        <v>32</v>
      </c>
    </row>
    <row r="9" spans="1:5">
      <c r="A9" s="73" t="s">
        <v>864</v>
      </c>
      <c r="B9" s="66">
        <v>96</v>
      </c>
      <c r="D9" s="72" t="s">
        <v>1294</v>
      </c>
      <c r="E9" s="66">
        <v>32</v>
      </c>
    </row>
    <row r="10" spans="1:5">
      <c r="A10" s="73" t="s">
        <v>409</v>
      </c>
      <c r="B10" s="66" t="s">
        <v>1443</v>
      </c>
      <c r="D10" s="72" t="s">
        <v>127</v>
      </c>
      <c r="E10" s="66">
        <v>6</v>
      </c>
    </row>
    <row r="11" spans="1:5" ht="43.2">
      <c r="A11" s="73" t="s">
        <v>1327</v>
      </c>
      <c r="B11" s="66">
        <v>2</v>
      </c>
      <c r="D11" s="72" t="s">
        <v>1407</v>
      </c>
      <c r="E11" s="66">
        <v>2</v>
      </c>
    </row>
    <row r="12" spans="1:5">
      <c r="A12" s="73" t="s">
        <v>1163</v>
      </c>
      <c r="B12" s="66">
        <v>16</v>
      </c>
      <c r="D12" s="72" t="s">
        <v>716</v>
      </c>
      <c r="E12" s="66">
        <v>32</v>
      </c>
    </row>
    <row r="13" spans="1:5">
      <c r="A13" s="73" t="s">
        <v>1040</v>
      </c>
      <c r="B13" s="66">
        <v>16</v>
      </c>
      <c r="D13" s="72" t="s">
        <v>1110</v>
      </c>
      <c r="E13" s="66">
        <v>6</v>
      </c>
    </row>
    <row r="14" spans="1:5">
      <c r="A14" s="73" t="s">
        <v>683</v>
      </c>
      <c r="B14" s="66">
        <v>4</v>
      </c>
    </row>
    <row r="15" spans="1:5">
      <c r="A15" s="73" t="s">
        <v>1375</v>
      </c>
      <c r="B15" s="66">
        <v>2</v>
      </c>
    </row>
    <row r="16" spans="1:5">
      <c r="A16" s="73" t="s">
        <v>1353</v>
      </c>
      <c r="B16" s="66">
        <v>22</v>
      </c>
    </row>
    <row r="17" spans="1:2">
      <c r="A17" s="73" t="s">
        <v>718</v>
      </c>
      <c r="B17" s="66">
        <v>4</v>
      </c>
    </row>
    <row r="18" spans="1:2">
      <c r="A18" s="73" t="s">
        <v>1282</v>
      </c>
      <c r="B18" s="66">
        <v>24</v>
      </c>
    </row>
    <row r="19" spans="1:2">
      <c r="A19" s="73" t="s">
        <v>232</v>
      </c>
      <c r="B19" s="66">
        <v>126</v>
      </c>
    </row>
    <row r="20" spans="1:2">
      <c r="A20" s="73" t="s">
        <v>1219</v>
      </c>
      <c r="B20" s="66">
        <v>28</v>
      </c>
    </row>
    <row r="21" spans="1:2">
      <c r="A21" s="73" t="s">
        <v>987</v>
      </c>
      <c r="B21" s="66">
        <v>4</v>
      </c>
    </row>
    <row r="22" spans="1:2">
      <c r="A22" s="73" t="s">
        <v>278</v>
      </c>
      <c r="B22" s="66">
        <v>396</v>
      </c>
    </row>
    <row r="23" spans="1:2">
      <c r="A23" s="73" t="s">
        <v>1107</v>
      </c>
      <c r="B23" s="66">
        <v>8</v>
      </c>
    </row>
    <row r="24" spans="1:2">
      <c r="A24" s="73" t="s">
        <v>1221</v>
      </c>
      <c r="B24" s="66">
        <v>28</v>
      </c>
    </row>
    <row r="25" spans="1:2">
      <c r="A25" s="73" t="s">
        <v>171</v>
      </c>
      <c r="B25" s="66">
        <v>33</v>
      </c>
    </row>
    <row r="26" spans="1:2">
      <c r="A26" s="73" t="s">
        <v>923</v>
      </c>
      <c r="B26" s="66">
        <v>112</v>
      </c>
    </row>
    <row r="27" spans="1:2">
      <c r="A27" s="73" t="s">
        <v>1012</v>
      </c>
      <c r="B27" s="66">
        <v>8</v>
      </c>
    </row>
    <row r="28" spans="1:2">
      <c r="A28" s="73" t="s">
        <v>467</v>
      </c>
      <c r="B28" s="66">
        <v>4</v>
      </c>
    </row>
    <row r="29" spans="1:2">
      <c r="A29" s="73" t="s">
        <v>1113</v>
      </c>
      <c r="B29" s="66">
        <v>4</v>
      </c>
    </row>
    <row r="30" spans="1:2">
      <c r="A30" s="73" t="s">
        <v>129</v>
      </c>
      <c r="B30" s="66">
        <v>52</v>
      </c>
    </row>
    <row r="31" spans="1:2">
      <c r="A31" s="73" t="s">
        <v>179</v>
      </c>
      <c r="B31" s="66">
        <v>4</v>
      </c>
    </row>
    <row r="32" spans="1:2">
      <c r="A32" s="73" t="s">
        <v>337</v>
      </c>
      <c r="B32" s="66">
        <v>12</v>
      </c>
    </row>
    <row r="33" spans="1:2">
      <c r="A33" s="73" t="s">
        <v>263</v>
      </c>
      <c r="B33" s="66">
        <v>84</v>
      </c>
    </row>
    <row r="34" spans="1:2">
      <c r="A34" s="73" t="s">
        <v>327</v>
      </c>
      <c r="B34" s="66">
        <v>744</v>
      </c>
    </row>
    <row r="35" spans="1:2">
      <c r="A35" s="73" t="s">
        <v>560</v>
      </c>
      <c r="B35" s="66">
        <v>4</v>
      </c>
    </row>
    <row r="36" spans="1:2">
      <c r="A36" s="73" t="s">
        <v>773</v>
      </c>
      <c r="B36" s="66">
        <v>12</v>
      </c>
    </row>
    <row r="37" spans="1:2">
      <c r="A37" s="73" t="s">
        <v>414</v>
      </c>
      <c r="B37" s="66">
        <v>4</v>
      </c>
    </row>
    <row r="38" spans="1:2">
      <c r="A38" s="73" t="s">
        <v>1038</v>
      </c>
      <c r="B38" s="66">
        <v>16</v>
      </c>
    </row>
    <row r="39" spans="1:2">
      <c r="A39" s="73" t="s">
        <v>1380</v>
      </c>
      <c r="B39" s="66">
        <v>2</v>
      </c>
    </row>
    <row r="40" spans="1:2">
      <c r="A40" s="73" t="s">
        <v>335</v>
      </c>
      <c r="B40" s="66">
        <v>102</v>
      </c>
    </row>
    <row r="41" spans="1:2">
      <c r="A41" s="73" t="s">
        <v>230</v>
      </c>
      <c r="B41" s="66">
        <v>89</v>
      </c>
    </row>
    <row r="42" spans="1:2">
      <c r="A42" s="73" t="s">
        <v>1156</v>
      </c>
      <c r="B42" s="66">
        <v>4</v>
      </c>
    </row>
    <row r="43" spans="1:2">
      <c r="A43" s="73" t="s">
        <v>367</v>
      </c>
      <c r="B43" s="66">
        <v>24</v>
      </c>
    </row>
    <row r="44" spans="1:2">
      <c r="A44" s="73" t="s">
        <v>276</v>
      </c>
      <c r="B44" s="66">
        <v>635</v>
      </c>
    </row>
    <row r="45" spans="1:2">
      <c r="A45" s="73" t="s">
        <v>370</v>
      </c>
      <c r="B45" s="66">
        <v>204</v>
      </c>
    </row>
    <row r="46" spans="1:2">
      <c r="A46" s="73" t="s">
        <v>358</v>
      </c>
      <c r="B46" s="66">
        <v>70</v>
      </c>
    </row>
    <row r="47" spans="1:2">
      <c r="A47" s="73" t="s">
        <v>390</v>
      </c>
      <c r="B47" s="66">
        <v>13</v>
      </c>
    </row>
    <row r="48" spans="1:2">
      <c r="A48" s="73" t="s">
        <v>127</v>
      </c>
      <c r="B48" s="66">
        <v>32</v>
      </c>
    </row>
    <row r="49" spans="1:2">
      <c r="A49" s="73" t="s">
        <v>1024</v>
      </c>
      <c r="B49" s="66">
        <v>4</v>
      </c>
    </row>
    <row r="50" spans="1:2">
      <c r="A50" s="73" t="s">
        <v>412</v>
      </c>
      <c r="B50" s="66">
        <v>12</v>
      </c>
    </row>
    <row r="51" spans="1:2">
      <c r="A51" s="73" t="s">
        <v>500</v>
      </c>
      <c r="B51" s="66">
        <v>4</v>
      </c>
    </row>
    <row r="52" spans="1:2">
      <c r="A52" s="73" t="s">
        <v>177</v>
      </c>
      <c r="B52" s="66">
        <v>2</v>
      </c>
    </row>
    <row r="53" spans="1:2">
      <c r="A53" s="73" t="s">
        <v>1160</v>
      </c>
      <c r="B53" s="66">
        <v>8</v>
      </c>
    </row>
    <row r="54" spans="1:2">
      <c r="A54" s="73" t="s">
        <v>1035</v>
      </c>
      <c r="B54" s="66">
        <v>8</v>
      </c>
    </row>
    <row r="55" spans="1:2">
      <c r="A55" s="73" t="s">
        <v>681</v>
      </c>
      <c r="B55" s="66">
        <v>4</v>
      </c>
    </row>
    <row r="56" spans="1:2">
      <c r="A56" s="73" t="s">
        <v>1351</v>
      </c>
      <c r="B56" s="66">
        <v>22</v>
      </c>
    </row>
    <row r="57" spans="1:2">
      <c r="A57" s="73" t="s">
        <v>332</v>
      </c>
      <c r="B57" s="66">
        <v>6</v>
      </c>
    </row>
    <row r="58" spans="1:2">
      <c r="A58" s="73" t="s">
        <v>1255</v>
      </c>
      <c r="B58" s="66">
        <v>48</v>
      </c>
    </row>
    <row r="59" spans="1:2">
      <c r="A59" s="73" t="s">
        <v>1154</v>
      </c>
      <c r="B59" s="66">
        <v>4</v>
      </c>
    </row>
    <row r="60" spans="1:2">
      <c r="A60" s="73" t="s">
        <v>657</v>
      </c>
      <c r="B60" s="66">
        <v>50</v>
      </c>
    </row>
    <row r="61" spans="1:2">
      <c r="A61" s="73" t="s">
        <v>227</v>
      </c>
      <c r="B61" s="66">
        <v>70</v>
      </c>
    </row>
    <row r="62" spans="1:2">
      <c r="A62" s="73" t="s">
        <v>716</v>
      </c>
      <c r="B62" s="66">
        <v>20</v>
      </c>
    </row>
    <row r="63" spans="1:2">
      <c r="A63" s="73" t="s">
        <v>837</v>
      </c>
      <c r="B63" s="66">
        <v>5</v>
      </c>
    </row>
    <row r="64" spans="1:2">
      <c r="A64" s="73" t="s">
        <v>569</v>
      </c>
      <c r="B64" s="66">
        <v>4</v>
      </c>
    </row>
    <row r="65" spans="1:2">
      <c r="A65" s="73" t="s">
        <v>281</v>
      </c>
      <c r="B65" s="66">
        <v>8</v>
      </c>
    </row>
    <row r="66" spans="1:2">
      <c r="A66" s="73" t="s">
        <v>329</v>
      </c>
      <c r="B66" s="66">
        <v>90</v>
      </c>
    </row>
    <row r="67" spans="1:2">
      <c r="A67" s="73" t="s">
        <v>273</v>
      </c>
      <c r="B67" s="66">
        <v>96</v>
      </c>
    </row>
    <row r="68" spans="1:2">
      <c r="A68" s="73" t="s">
        <v>284</v>
      </c>
      <c r="B68" s="66">
        <v>219</v>
      </c>
    </row>
    <row r="69" spans="1:2">
      <c r="A69" s="73" t="s">
        <v>579</v>
      </c>
      <c r="B69" s="66">
        <v>4</v>
      </c>
    </row>
    <row r="70" spans="1:2">
      <c r="A70" s="73" t="s">
        <v>862</v>
      </c>
      <c r="B70" s="66">
        <v>96</v>
      </c>
    </row>
    <row r="71" spans="1:2">
      <c r="A71" s="73" t="s">
        <v>984</v>
      </c>
      <c r="B71" s="66">
        <v>2</v>
      </c>
    </row>
    <row r="72" spans="1:2">
      <c r="A72" s="73" t="s">
        <v>169</v>
      </c>
      <c r="B72" s="66">
        <v>9</v>
      </c>
    </row>
    <row r="73" spans="1:2">
      <c r="A73" s="73" t="s">
        <v>355</v>
      </c>
      <c r="B73" s="66">
        <v>4</v>
      </c>
    </row>
    <row r="74" spans="1:2">
      <c r="A74" s="73" t="s">
        <v>920</v>
      </c>
      <c r="B74" s="66">
        <v>56</v>
      </c>
    </row>
    <row r="75" spans="1:2">
      <c r="A75" s="73" t="s">
        <v>433</v>
      </c>
      <c r="B75" s="66">
        <v>4</v>
      </c>
    </row>
    <row r="76" spans="1:2">
      <c r="A76" s="73" t="s">
        <v>463</v>
      </c>
      <c r="B76" s="66">
        <v>4</v>
      </c>
    </row>
    <row r="77" spans="1:2">
      <c r="A77" s="73" t="s">
        <v>626</v>
      </c>
      <c r="B77" s="66">
        <v>2</v>
      </c>
    </row>
    <row r="78" spans="1:2">
      <c r="A78" s="73" t="s">
        <v>388</v>
      </c>
      <c r="B78" s="66">
        <v>1</v>
      </c>
    </row>
    <row r="79" spans="1:2">
      <c r="A79" s="73" t="s">
        <v>1110</v>
      </c>
      <c r="B79" s="66">
        <v>6</v>
      </c>
    </row>
    <row r="80" spans="1:2">
      <c r="A80" s="73" t="s">
        <v>1145</v>
      </c>
      <c r="B80" s="66">
        <v>2</v>
      </c>
    </row>
    <row r="81" spans="1:2">
      <c r="A81" s="73" t="s">
        <v>123</v>
      </c>
      <c r="B81" s="66">
        <v>8</v>
      </c>
    </row>
    <row r="82" spans="1:2">
      <c r="A82" s="73" t="s">
        <v>1070</v>
      </c>
      <c r="B82" s="66">
        <v>16</v>
      </c>
    </row>
    <row r="83" spans="1:2">
      <c r="A83" s="73" t="s">
        <v>767</v>
      </c>
      <c r="B83" s="66">
        <v>2</v>
      </c>
    </row>
    <row r="84" spans="1:2">
      <c r="A84" s="73" t="s">
        <v>174</v>
      </c>
      <c r="B84" s="66">
        <v>2</v>
      </c>
    </row>
    <row r="85" spans="1:2">
      <c r="A85" s="73" t="s">
        <v>664</v>
      </c>
      <c r="B85" s="66">
        <v>10</v>
      </c>
    </row>
    <row r="86" spans="1:2">
      <c r="A86" s="73" t="s">
        <v>1373</v>
      </c>
      <c r="B86" s="66">
        <v>2</v>
      </c>
    </row>
  </sheetData>
  <autoFilter ref="A1:B8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8"/>
  <sheetViews>
    <sheetView workbookViewId="0">
      <pane ySplit="1" topLeftCell="A2" activePane="bottomLeft" state="frozen"/>
      <selection pane="bottomLeft" activeCell="A3" sqref="A3"/>
    </sheetView>
  </sheetViews>
  <sheetFormatPr defaultRowHeight="14.4"/>
  <cols>
    <col min="1" max="1" width="40" customWidth="1"/>
    <col min="2" max="2" width="11" customWidth="1"/>
    <col min="3" max="3" width="28" customWidth="1"/>
    <col min="4" max="10" width="10" customWidth="1"/>
    <col min="11" max="11" width="40" customWidth="1"/>
    <col min="12" max="13" width="10" customWidth="1"/>
    <col min="14" max="14" width="11" customWidth="1"/>
  </cols>
  <sheetData>
    <row r="1" spans="1:14">
      <c r="A1" s="70">
        <v>45672050</v>
      </c>
      <c r="C1" s="71" t="s">
        <v>1434</v>
      </c>
      <c r="K1" s="70">
        <v>45672050</v>
      </c>
    </row>
    <row r="2" spans="1:14" s="64" customFormat="1"/>
    <row r="3" spans="1:14" s="64" customFormat="1"/>
    <row r="4" spans="1:14">
      <c r="A4" s="62" t="s">
        <v>1413</v>
      </c>
      <c r="B4" s="62" t="s">
        <v>1414</v>
      </c>
      <c r="C4" s="62" t="s">
        <v>1415</v>
      </c>
      <c r="D4" s="62" t="s">
        <v>1416</v>
      </c>
      <c r="E4" s="62" t="s">
        <v>1412</v>
      </c>
      <c r="F4" s="62" t="s">
        <v>1417</v>
      </c>
      <c r="G4" s="62" t="s">
        <v>1418</v>
      </c>
      <c r="H4" s="62" t="s">
        <v>1419</v>
      </c>
      <c r="I4" s="62"/>
      <c r="J4" s="62"/>
      <c r="K4" s="62" t="s">
        <v>1413</v>
      </c>
      <c r="L4" s="62" t="s">
        <v>1416</v>
      </c>
      <c r="M4" s="62" t="s">
        <v>1420</v>
      </c>
      <c r="N4" s="62" t="s">
        <v>1421</v>
      </c>
    </row>
    <row r="5" spans="1:14">
      <c r="A5" s="61" t="s">
        <v>1178</v>
      </c>
      <c r="B5" s="61">
        <v>3</v>
      </c>
      <c r="C5" s="61" t="s">
        <v>1169</v>
      </c>
      <c r="D5" s="61">
        <v>1338</v>
      </c>
      <c r="E5" s="61">
        <v>1</v>
      </c>
      <c r="K5" s="61" t="s">
        <v>1178</v>
      </c>
      <c r="L5" s="61">
        <v>1338</v>
      </c>
    </row>
    <row r="6" spans="1:14">
      <c r="A6" s="61" t="s">
        <v>566</v>
      </c>
      <c r="B6" s="61">
        <v>1</v>
      </c>
      <c r="C6" s="61" t="s">
        <v>562</v>
      </c>
      <c r="D6" s="61">
        <v>1320</v>
      </c>
      <c r="E6" s="61">
        <v>1</v>
      </c>
      <c r="K6" s="61" t="s">
        <v>566</v>
      </c>
      <c r="L6" s="61">
        <v>13568</v>
      </c>
    </row>
    <row r="7" spans="1:14">
      <c r="A7" s="61" t="s">
        <v>566</v>
      </c>
      <c r="B7" s="61">
        <v>2</v>
      </c>
      <c r="C7" s="61" t="s">
        <v>1192</v>
      </c>
      <c r="D7" s="61">
        <v>1338</v>
      </c>
      <c r="E7" s="61">
        <v>4</v>
      </c>
      <c r="K7" s="61" t="s">
        <v>713</v>
      </c>
      <c r="L7" s="61">
        <v>2332</v>
      </c>
    </row>
    <row r="8" spans="1:14">
      <c r="A8" s="61" t="s">
        <v>566</v>
      </c>
      <c r="B8" s="61">
        <v>3</v>
      </c>
      <c r="C8" s="61" t="s">
        <v>1192</v>
      </c>
      <c r="D8" s="61">
        <v>1550</v>
      </c>
      <c r="E8" s="61">
        <v>2</v>
      </c>
      <c r="K8" s="61" t="s">
        <v>556</v>
      </c>
      <c r="L8" s="61">
        <v>34728</v>
      </c>
    </row>
    <row r="9" spans="1:14">
      <c r="A9" s="61" t="s">
        <v>566</v>
      </c>
      <c r="B9" s="61">
        <v>2</v>
      </c>
      <c r="C9" s="61" t="s">
        <v>1204</v>
      </c>
      <c r="D9" s="61">
        <v>1338</v>
      </c>
      <c r="E9" s="61">
        <v>2</v>
      </c>
      <c r="K9" s="61" t="s">
        <v>1172</v>
      </c>
      <c r="L9" s="61">
        <v>1400</v>
      </c>
    </row>
    <row r="10" spans="1:14">
      <c r="A10" s="61" t="s">
        <v>566</v>
      </c>
      <c r="B10" s="61">
        <v>3</v>
      </c>
      <c r="C10" s="61" t="s">
        <v>1204</v>
      </c>
      <c r="D10" s="61">
        <v>1120</v>
      </c>
      <c r="E10" s="61">
        <v>1</v>
      </c>
      <c r="K10" s="61" t="s">
        <v>1187</v>
      </c>
      <c r="L10" s="61">
        <v>1080</v>
      </c>
    </row>
    <row r="11" spans="1:14">
      <c r="A11" s="61" t="s">
        <v>713</v>
      </c>
      <c r="B11" s="61">
        <v>1</v>
      </c>
      <c r="C11" s="61" t="s">
        <v>708</v>
      </c>
      <c r="D11" s="61">
        <v>1166</v>
      </c>
      <c r="E11" s="61">
        <v>2</v>
      </c>
      <c r="K11" s="61" t="s">
        <v>596</v>
      </c>
      <c r="L11" s="61">
        <v>150</v>
      </c>
    </row>
    <row r="12" spans="1:14">
      <c r="A12" s="61" t="s">
        <v>556</v>
      </c>
      <c r="B12" s="61">
        <v>1</v>
      </c>
      <c r="C12" s="61" t="s">
        <v>552</v>
      </c>
      <c r="D12" s="61">
        <v>1420</v>
      </c>
      <c r="E12" s="61">
        <v>1</v>
      </c>
      <c r="K12" s="61" t="s">
        <v>406</v>
      </c>
      <c r="L12" s="61">
        <v>70</v>
      </c>
    </row>
    <row r="13" spans="1:14">
      <c r="A13" s="61" t="s">
        <v>556</v>
      </c>
      <c r="B13" s="61">
        <v>1</v>
      </c>
      <c r="C13" s="61" t="s">
        <v>1060</v>
      </c>
      <c r="D13" s="61">
        <v>1514</v>
      </c>
      <c r="E13" s="61">
        <v>18</v>
      </c>
      <c r="K13" s="61" t="s">
        <v>364</v>
      </c>
      <c r="L13" s="61">
        <v>100</v>
      </c>
    </row>
    <row r="14" spans="1:14">
      <c r="A14" s="61" t="s">
        <v>556</v>
      </c>
      <c r="B14" s="61">
        <v>1</v>
      </c>
      <c r="C14" s="61" t="s">
        <v>1060</v>
      </c>
      <c r="D14" s="61">
        <v>1514</v>
      </c>
      <c r="E14" s="61">
        <v>4</v>
      </c>
      <c r="K14" s="61" t="s">
        <v>1197</v>
      </c>
      <c r="L14" s="61">
        <v>6170</v>
      </c>
    </row>
    <row r="15" spans="1:14">
      <c r="A15" s="61" t="s">
        <v>1172</v>
      </c>
      <c r="B15" s="61">
        <v>1</v>
      </c>
      <c r="C15" s="61" t="s">
        <v>1169</v>
      </c>
      <c r="D15" s="61">
        <v>700</v>
      </c>
      <c r="E15" s="61">
        <v>2</v>
      </c>
      <c r="K15" s="61" t="s">
        <v>1175</v>
      </c>
      <c r="L15" s="61">
        <v>1060</v>
      </c>
    </row>
    <row r="16" spans="1:14">
      <c r="A16" s="61" t="s">
        <v>1187</v>
      </c>
      <c r="B16" s="61">
        <v>1</v>
      </c>
      <c r="C16" s="61" t="s">
        <v>1184</v>
      </c>
      <c r="D16" s="61">
        <v>180</v>
      </c>
      <c r="E16" s="61">
        <v>6</v>
      </c>
      <c r="K16" s="61" t="s">
        <v>495</v>
      </c>
      <c r="L16" s="61">
        <v>3600</v>
      </c>
    </row>
    <row r="17" spans="1:12">
      <c r="A17" s="61" t="s">
        <v>596</v>
      </c>
      <c r="B17" s="61">
        <v>5</v>
      </c>
      <c r="C17" s="61" t="s">
        <v>586</v>
      </c>
      <c r="D17" s="61">
        <v>75</v>
      </c>
      <c r="E17" s="61">
        <v>2</v>
      </c>
      <c r="K17" s="61" t="s">
        <v>537</v>
      </c>
      <c r="L17" s="61">
        <v>136</v>
      </c>
    </row>
    <row r="18" spans="1:12">
      <c r="A18" s="61" t="s">
        <v>406</v>
      </c>
      <c r="B18" s="61">
        <v>1</v>
      </c>
      <c r="C18" s="61" t="s">
        <v>403</v>
      </c>
      <c r="D18" s="61">
        <v>35</v>
      </c>
      <c r="E18" s="61">
        <v>2</v>
      </c>
    </row>
    <row r="19" spans="1:12">
      <c r="A19" s="61" t="s">
        <v>364</v>
      </c>
      <c r="B19" s="61">
        <v>1</v>
      </c>
      <c r="C19" s="61" t="s">
        <v>361</v>
      </c>
      <c r="D19" s="61">
        <v>40</v>
      </c>
      <c r="E19" s="61">
        <v>1</v>
      </c>
    </row>
    <row r="20" spans="1:12">
      <c r="A20" s="61" t="s">
        <v>364</v>
      </c>
      <c r="B20" s="61">
        <v>1</v>
      </c>
      <c r="C20" s="61" t="s">
        <v>381</v>
      </c>
      <c r="D20" s="61">
        <v>35</v>
      </c>
      <c r="E20" s="61">
        <v>1</v>
      </c>
    </row>
    <row r="21" spans="1:12">
      <c r="A21" s="61" t="s">
        <v>364</v>
      </c>
      <c r="B21" s="61">
        <v>1</v>
      </c>
      <c r="C21" s="61" t="s">
        <v>396</v>
      </c>
      <c r="D21" s="61">
        <v>25</v>
      </c>
      <c r="E21" s="61">
        <v>1</v>
      </c>
    </row>
    <row r="22" spans="1:12">
      <c r="A22" s="61" t="s">
        <v>1197</v>
      </c>
      <c r="B22" s="61">
        <v>1</v>
      </c>
      <c r="C22" s="61" t="s">
        <v>1192</v>
      </c>
      <c r="D22" s="61">
        <v>1300</v>
      </c>
      <c r="E22" s="61">
        <v>4</v>
      </c>
    </row>
    <row r="23" spans="1:12">
      <c r="A23" s="61" t="s">
        <v>1197</v>
      </c>
      <c r="B23" s="61">
        <v>1</v>
      </c>
      <c r="C23" s="61" t="s">
        <v>1204</v>
      </c>
      <c r="D23" s="61">
        <v>485</v>
      </c>
      <c r="E23" s="61">
        <v>2</v>
      </c>
    </row>
    <row r="24" spans="1:12">
      <c r="A24" s="61" t="s">
        <v>1175</v>
      </c>
      <c r="B24" s="61">
        <v>2</v>
      </c>
      <c r="C24" s="61" t="s">
        <v>1169</v>
      </c>
      <c r="D24" s="61">
        <v>530</v>
      </c>
      <c r="E24" s="61">
        <v>2</v>
      </c>
    </row>
    <row r="25" spans="1:12">
      <c r="A25" s="61" t="s">
        <v>495</v>
      </c>
      <c r="B25" s="61">
        <v>2</v>
      </c>
      <c r="C25" s="61" t="s">
        <v>492</v>
      </c>
      <c r="D25" s="61">
        <v>1800</v>
      </c>
      <c r="E25" s="61">
        <v>1</v>
      </c>
    </row>
    <row r="26" spans="1:12">
      <c r="A26" s="61" t="s">
        <v>495</v>
      </c>
      <c r="B26" s="61">
        <v>1</v>
      </c>
      <c r="C26" s="61" t="s">
        <v>492</v>
      </c>
      <c r="D26" s="61">
        <v>1800</v>
      </c>
      <c r="E26" s="61">
        <v>1</v>
      </c>
    </row>
    <row r="27" spans="1:12">
      <c r="A27" s="61" t="s">
        <v>537</v>
      </c>
      <c r="B27" s="61">
        <v>1</v>
      </c>
      <c r="C27" s="61" t="s">
        <v>534</v>
      </c>
      <c r="D27" s="61">
        <v>68</v>
      </c>
      <c r="E27" s="61">
        <v>1</v>
      </c>
    </row>
    <row r="28" spans="1:12">
      <c r="A28" s="61" t="s">
        <v>537</v>
      </c>
      <c r="B28" s="61">
        <v>1</v>
      </c>
      <c r="C28" s="61" t="s">
        <v>534</v>
      </c>
      <c r="D28" s="61">
        <v>68</v>
      </c>
      <c r="E28" s="61">
        <v>1</v>
      </c>
    </row>
  </sheetData>
  <autoFilter ref="A1:N28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"/>
  <sheetViews>
    <sheetView workbookViewId="0">
      <pane ySplit="1" topLeftCell="A2" activePane="bottomLeft" state="frozen"/>
      <selection pane="bottomLeft"/>
    </sheetView>
  </sheetViews>
  <sheetFormatPr defaultRowHeight="14.4"/>
  <cols>
    <col min="1" max="9" width="10" customWidth="1"/>
    <col min="10" max="10" width="42" customWidth="1"/>
    <col min="11" max="11" width="12" customWidth="1"/>
    <col min="12" max="13" width="10" customWidth="1"/>
    <col min="14" max="14" width="28" customWidth="1"/>
    <col min="15" max="15" width="11" customWidth="1"/>
  </cols>
  <sheetData>
    <row r="1" spans="1:15">
      <c r="A1" s="62" t="s">
        <v>1</v>
      </c>
      <c r="B1" s="62" t="s">
        <v>2</v>
      </c>
      <c r="C1" s="62" t="s">
        <v>3</v>
      </c>
      <c r="D1" s="62" t="s">
        <v>4</v>
      </c>
      <c r="E1" s="62" t="s">
        <v>5</v>
      </c>
      <c r="F1" s="62" t="s">
        <v>1422</v>
      </c>
      <c r="G1" s="62" t="s">
        <v>7</v>
      </c>
      <c r="H1" s="62" t="s">
        <v>1423</v>
      </c>
      <c r="I1" s="62" t="s">
        <v>1424</v>
      </c>
      <c r="J1" s="62" t="s">
        <v>9</v>
      </c>
      <c r="K1" s="62" t="s">
        <v>10</v>
      </c>
      <c r="L1" s="62" t="s">
        <v>20</v>
      </c>
      <c r="M1" s="62" t="s">
        <v>22</v>
      </c>
      <c r="N1" s="62" t="s">
        <v>23</v>
      </c>
      <c r="O1" s="62" t="s">
        <v>24</v>
      </c>
    </row>
    <row r="2" spans="1:15">
      <c r="A2" s="61" t="s">
        <v>83</v>
      </c>
      <c r="B2" s="61">
        <v>2</v>
      </c>
      <c r="C2" s="61">
        <v>3683600</v>
      </c>
      <c r="D2" s="61">
        <v>2</v>
      </c>
      <c r="E2" s="61">
        <v>0.03</v>
      </c>
      <c r="F2" s="61" t="s">
        <v>89</v>
      </c>
      <c r="G2" s="61">
        <v>100</v>
      </c>
      <c r="H2" s="61" t="s">
        <v>85</v>
      </c>
      <c r="I2" s="61">
        <v>150</v>
      </c>
      <c r="J2" s="61" t="s">
        <v>258</v>
      </c>
      <c r="K2" s="61" t="s">
        <v>253</v>
      </c>
      <c r="L2" s="61">
        <v>0</v>
      </c>
      <c r="M2" s="61" t="s">
        <v>259</v>
      </c>
      <c r="N2" s="61" t="s">
        <v>53</v>
      </c>
      <c r="O2" s="61" t="s">
        <v>51</v>
      </c>
    </row>
    <row r="3" spans="1:15">
      <c r="A3" s="61" t="s">
        <v>220</v>
      </c>
      <c r="B3" s="61">
        <v>1</v>
      </c>
      <c r="C3" s="61">
        <v>3683600</v>
      </c>
      <c r="D3" s="61">
        <v>1</v>
      </c>
      <c r="E3" s="61">
        <v>0.71399999999999997</v>
      </c>
      <c r="F3" s="61" t="s">
        <v>89</v>
      </c>
      <c r="G3" s="61">
        <v>950</v>
      </c>
      <c r="H3" s="61" t="s">
        <v>85</v>
      </c>
      <c r="I3" s="61">
        <v>320</v>
      </c>
      <c r="J3" s="61" t="s">
        <v>258</v>
      </c>
      <c r="K3" s="61" t="s">
        <v>827</v>
      </c>
      <c r="L3" s="61">
        <v>0</v>
      </c>
      <c r="M3" s="61" t="s">
        <v>259</v>
      </c>
      <c r="N3" s="61" t="s">
        <v>53</v>
      </c>
      <c r="O3" s="61" t="s">
        <v>51</v>
      </c>
    </row>
    <row r="4" spans="1:15">
      <c r="A4" s="61" t="s">
        <v>220</v>
      </c>
      <c r="B4" s="61">
        <v>1</v>
      </c>
      <c r="C4" s="61">
        <v>2612800</v>
      </c>
      <c r="D4" s="61">
        <v>1</v>
      </c>
      <c r="E4" s="61">
        <v>1.202</v>
      </c>
      <c r="F4" s="61" t="s">
        <v>89</v>
      </c>
      <c r="G4" s="61">
        <v>840</v>
      </c>
      <c r="H4" s="61" t="s">
        <v>85</v>
      </c>
      <c r="I4" s="61">
        <v>380</v>
      </c>
      <c r="J4" s="61" t="s">
        <v>834</v>
      </c>
      <c r="K4" s="61" t="s">
        <v>831</v>
      </c>
      <c r="L4" s="61">
        <v>0</v>
      </c>
      <c r="M4" s="61" t="s">
        <v>259</v>
      </c>
      <c r="N4" s="61" t="s">
        <v>53</v>
      </c>
      <c r="O4" s="61" t="s">
        <v>51</v>
      </c>
    </row>
    <row r="5" spans="1:15">
      <c r="A5" s="61" t="s">
        <v>83</v>
      </c>
      <c r="B5" s="61">
        <v>1</v>
      </c>
      <c r="C5" s="61">
        <v>3784800</v>
      </c>
      <c r="D5" s="61">
        <v>1</v>
      </c>
      <c r="E5" s="61">
        <v>0.71399999999999997</v>
      </c>
      <c r="F5" s="61" t="s">
        <v>89</v>
      </c>
      <c r="G5" s="61">
        <v>1050</v>
      </c>
      <c r="H5" s="61" t="s">
        <v>85</v>
      </c>
      <c r="I5" s="61">
        <v>680</v>
      </c>
      <c r="J5" s="61" t="s">
        <v>319</v>
      </c>
      <c r="K5" s="61" t="s">
        <v>315</v>
      </c>
      <c r="L5" s="61">
        <v>0</v>
      </c>
      <c r="M5" s="61" t="s">
        <v>259</v>
      </c>
      <c r="N5" s="61" t="s">
        <v>53</v>
      </c>
      <c r="O5" s="61" t="s">
        <v>51</v>
      </c>
    </row>
    <row r="6" spans="1:15">
      <c r="A6" s="61" t="s">
        <v>83</v>
      </c>
      <c r="B6" s="61">
        <v>1</v>
      </c>
      <c r="C6" s="61" t="s">
        <v>603</v>
      </c>
      <c r="D6" s="61">
        <v>1</v>
      </c>
      <c r="E6" s="61">
        <v>1.202</v>
      </c>
      <c r="F6" s="61" t="s">
        <v>408</v>
      </c>
      <c r="G6" s="61">
        <v>1202</v>
      </c>
      <c r="H6" s="61" t="s">
        <v>85</v>
      </c>
      <c r="I6" s="61">
        <v>0</v>
      </c>
      <c r="J6" s="61" t="s">
        <v>605</v>
      </c>
      <c r="K6" s="61" t="s">
        <v>600</v>
      </c>
      <c r="L6" s="61">
        <v>0.55000000000000004</v>
      </c>
      <c r="M6" s="61" t="s">
        <v>259</v>
      </c>
      <c r="N6" s="61" t="s">
        <v>53</v>
      </c>
      <c r="O6" s="61" t="s">
        <v>51</v>
      </c>
    </row>
    <row r="7" spans="1:15">
      <c r="A7" s="61" t="s">
        <v>79</v>
      </c>
      <c r="B7" s="61">
        <v>2</v>
      </c>
      <c r="C7" s="61" t="s">
        <v>1288</v>
      </c>
      <c r="D7" s="61">
        <v>8</v>
      </c>
      <c r="E7" s="61">
        <v>5.6</v>
      </c>
      <c r="F7" s="61" t="s">
        <v>408</v>
      </c>
      <c r="G7" s="61">
        <v>700</v>
      </c>
      <c r="H7" s="61" t="s">
        <v>85</v>
      </c>
      <c r="I7" s="61">
        <v>0</v>
      </c>
      <c r="J7" s="61" t="s">
        <v>1289</v>
      </c>
      <c r="K7" s="61">
        <v>32201</v>
      </c>
      <c r="L7" s="61">
        <v>1.1000000000000001</v>
      </c>
      <c r="M7" s="61" t="s">
        <v>259</v>
      </c>
      <c r="N7" s="61" t="s">
        <v>53</v>
      </c>
      <c r="O7" s="61" t="s">
        <v>51</v>
      </c>
    </row>
    <row r="8" spans="1:15">
      <c r="A8" s="61" t="s">
        <v>62</v>
      </c>
      <c r="B8" s="61">
        <v>17</v>
      </c>
      <c r="C8" s="61">
        <v>8034200</v>
      </c>
      <c r="D8" s="61">
        <v>45</v>
      </c>
      <c r="E8" s="61">
        <v>5.6</v>
      </c>
      <c r="F8" s="61" t="s">
        <v>408</v>
      </c>
      <c r="G8" s="61">
        <v>700</v>
      </c>
      <c r="H8" s="61" t="s">
        <v>85</v>
      </c>
      <c r="I8" s="61">
        <v>0</v>
      </c>
      <c r="J8" s="61" t="s">
        <v>1334</v>
      </c>
      <c r="K8" s="61">
        <v>114879</v>
      </c>
      <c r="L8" s="61">
        <v>1.65</v>
      </c>
      <c r="M8" s="61" t="s">
        <v>259</v>
      </c>
      <c r="N8" s="61" t="s">
        <v>53</v>
      </c>
      <c r="O8" s="61" t="s">
        <v>51</v>
      </c>
    </row>
    <row r="9" spans="1:15">
      <c r="A9" s="61" t="s">
        <v>83</v>
      </c>
      <c r="B9" s="61">
        <v>1</v>
      </c>
      <c r="C9" s="61" t="s">
        <v>813</v>
      </c>
      <c r="D9" s="61">
        <v>2</v>
      </c>
      <c r="E9" s="61">
        <v>4</v>
      </c>
      <c r="F9" s="61" t="s">
        <v>408</v>
      </c>
      <c r="G9" s="61">
        <v>2000</v>
      </c>
      <c r="H9" s="61" t="s">
        <v>85</v>
      </c>
      <c r="I9" s="61">
        <v>0</v>
      </c>
      <c r="J9" s="61" t="s">
        <v>815</v>
      </c>
      <c r="K9" s="61" t="s">
        <v>810</v>
      </c>
      <c r="L9" s="61">
        <v>2.1800000000000002</v>
      </c>
      <c r="M9" s="61" t="s">
        <v>259</v>
      </c>
      <c r="N9" s="61" t="s">
        <v>53</v>
      </c>
      <c r="O9" s="61" t="s">
        <v>51</v>
      </c>
    </row>
  </sheetData>
  <autoFilter ref="A1:O9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"/>
  <sheetViews>
    <sheetView workbookViewId="0">
      <pane ySplit="1" topLeftCell="A2" activePane="bottomLeft" state="frozen"/>
      <selection pane="bottomLeft"/>
    </sheetView>
  </sheetViews>
  <sheetFormatPr defaultRowHeight="14.4"/>
  <cols>
    <col min="1" max="9" width="10" customWidth="1"/>
    <col min="10" max="10" width="56" customWidth="1"/>
    <col min="11" max="11" width="12" customWidth="1"/>
    <col min="12" max="12" width="10" customWidth="1"/>
    <col min="13" max="13" width="11" customWidth="1"/>
    <col min="14" max="14" width="28" customWidth="1"/>
    <col min="15" max="15" width="11" customWidth="1"/>
  </cols>
  <sheetData>
    <row r="1" spans="1:15">
      <c r="A1" s="62" t="s">
        <v>1</v>
      </c>
      <c r="B1" s="62" t="s">
        <v>2</v>
      </c>
      <c r="C1" s="62" t="s">
        <v>3</v>
      </c>
      <c r="D1" s="62" t="s">
        <v>4</v>
      </c>
      <c r="E1" s="62" t="s">
        <v>5</v>
      </c>
      <c r="F1" s="62" t="s">
        <v>1422</v>
      </c>
      <c r="G1" s="62" t="s">
        <v>7</v>
      </c>
      <c r="H1" s="62" t="s">
        <v>1423</v>
      </c>
      <c r="I1" s="62" t="s">
        <v>1424</v>
      </c>
      <c r="J1" s="62" t="s">
        <v>9</v>
      </c>
      <c r="K1" s="62" t="s">
        <v>10</v>
      </c>
      <c r="L1" s="62" t="s">
        <v>20</v>
      </c>
      <c r="M1" s="62" t="s">
        <v>22</v>
      </c>
      <c r="N1" s="62" t="s">
        <v>23</v>
      </c>
      <c r="O1" s="62" t="s">
        <v>24</v>
      </c>
    </row>
    <row r="2" spans="1:15">
      <c r="A2" s="61" t="s">
        <v>79</v>
      </c>
      <c r="B2" s="61">
        <v>4</v>
      </c>
      <c r="C2" s="61" t="s">
        <v>104</v>
      </c>
      <c r="D2" s="61">
        <v>1</v>
      </c>
      <c r="E2" s="61"/>
      <c r="F2" s="61" t="s">
        <v>52</v>
      </c>
      <c r="G2" s="61"/>
      <c r="H2" s="61"/>
      <c r="I2" s="61"/>
      <c r="J2" s="61" t="s">
        <v>105</v>
      </c>
      <c r="K2" s="61" t="s">
        <v>94</v>
      </c>
      <c r="L2" s="61">
        <v>14.2</v>
      </c>
      <c r="M2" s="61" t="s">
        <v>106</v>
      </c>
      <c r="N2" s="61" t="s">
        <v>53</v>
      </c>
      <c r="O2" s="61" t="s">
        <v>51</v>
      </c>
    </row>
  </sheetData>
  <autoFilter ref="A1:O2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8"/>
  <sheetViews>
    <sheetView workbookViewId="0">
      <pane ySplit="1" topLeftCell="A2" activePane="bottomLeft" state="frozen"/>
      <selection pane="bottomLeft"/>
    </sheetView>
  </sheetViews>
  <sheetFormatPr defaultRowHeight="14.4"/>
  <cols>
    <col min="1" max="2" width="10" customWidth="1"/>
    <col min="3" max="3" width="12" customWidth="1"/>
    <col min="4" max="9" width="10" customWidth="1"/>
    <col min="10" max="10" width="42" customWidth="1"/>
    <col min="11" max="11" width="12" customWidth="1"/>
    <col min="12" max="13" width="10" customWidth="1"/>
    <col min="14" max="14" width="28" customWidth="1"/>
    <col min="15" max="15" width="11" customWidth="1"/>
  </cols>
  <sheetData>
    <row r="1" spans="1:15">
      <c r="A1" s="60" t="s">
        <v>1</v>
      </c>
      <c r="B1" s="60" t="s">
        <v>2</v>
      </c>
      <c r="C1" s="60" t="s">
        <v>3</v>
      </c>
      <c r="D1" s="60" t="s">
        <v>4</v>
      </c>
      <c r="E1" s="60" t="s">
        <v>5</v>
      </c>
      <c r="F1" s="60" t="s">
        <v>1422</v>
      </c>
      <c r="G1" s="60" t="s">
        <v>7</v>
      </c>
      <c r="H1" s="60" t="s">
        <v>1423</v>
      </c>
      <c r="I1" s="60" t="s">
        <v>1424</v>
      </c>
      <c r="J1" s="60" t="s">
        <v>9</v>
      </c>
      <c r="K1" s="60" t="s">
        <v>10</v>
      </c>
      <c r="L1" s="60" t="s">
        <v>20</v>
      </c>
      <c r="M1" s="60" t="s">
        <v>22</v>
      </c>
      <c r="N1" s="60" t="s">
        <v>23</v>
      </c>
      <c r="O1" s="60" t="s">
        <v>24</v>
      </c>
    </row>
    <row r="2" spans="1:15">
      <c r="A2" s="61" t="s">
        <v>74</v>
      </c>
      <c r="B2" s="61">
        <v>1</v>
      </c>
      <c r="C2" s="61" t="s">
        <v>75</v>
      </c>
      <c r="D2" s="61">
        <v>1</v>
      </c>
      <c r="E2" s="61"/>
      <c r="F2" s="61" t="s">
        <v>52</v>
      </c>
      <c r="G2" s="61"/>
      <c r="H2" s="61"/>
      <c r="I2" s="61"/>
      <c r="J2" s="61" t="s">
        <v>76</v>
      </c>
      <c r="K2" s="61" t="s">
        <v>75</v>
      </c>
      <c r="L2" s="61">
        <v>215.50299999999999</v>
      </c>
      <c r="M2" s="61" t="s">
        <v>77</v>
      </c>
      <c r="N2" s="61" t="s">
        <v>53</v>
      </c>
      <c r="O2" s="61" t="s">
        <v>51</v>
      </c>
    </row>
    <row r="3" spans="1:15">
      <c r="A3" s="61" t="s">
        <v>79</v>
      </c>
      <c r="B3" s="61">
        <v>1</v>
      </c>
      <c r="C3" s="61" t="s">
        <v>80</v>
      </c>
      <c r="D3" s="61">
        <v>1</v>
      </c>
      <c r="E3" s="61"/>
      <c r="F3" s="61" t="s">
        <v>52</v>
      </c>
      <c r="G3" s="61"/>
      <c r="H3" s="61"/>
      <c r="I3" s="61"/>
      <c r="J3" s="61" t="s">
        <v>81</v>
      </c>
      <c r="K3" s="61" t="s">
        <v>80</v>
      </c>
      <c r="L3" s="61">
        <v>140</v>
      </c>
      <c r="M3" s="61" t="s">
        <v>77</v>
      </c>
      <c r="N3" s="61" t="s">
        <v>53</v>
      </c>
      <c r="O3" s="61" t="s">
        <v>51</v>
      </c>
    </row>
    <row r="4" spans="1:15">
      <c r="A4" s="61" t="s">
        <v>83</v>
      </c>
      <c r="B4" s="61">
        <v>1</v>
      </c>
      <c r="C4" s="61">
        <v>25632300</v>
      </c>
      <c r="D4" s="61">
        <v>1</v>
      </c>
      <c r="E4" s="61">
        <v>1140</v>
      </c>
      <c r="F4" s="61" t="s">
        <v>85</v>
      </c>
      <c r="G4" s="61">
        <v>1140</v>
      </c>
      <c r="H4" s="61" t="s">
        <v>85</v>
      </c>
      <c r="I4" s="61">
        <v>0</v>
      </c>
      <c r="J4" s="61" t="s">
        <v>86</v>
      </c>
      <c r="K4" s="61" t="s">
        <v>80</v>
      </c>
      <c r="L4" s="61">
        <v>0</v>
      </c>
      <c r="M4" s="61" t="s">
        <v>77</v>
      </c>
      <c r="N4" s="61" t="s">
        <v>53</v>
      </c>
      <c r="O4" s="61" t="s">
        <v>51</v>
      </c>
    </row>
    <row r="5" spans="1:15">
      <c r="A5" s="61" t="s">
        <v>83</v>
      </c>
      <c r="B5" s="61">
        <v>2</v>
      </c>
      <c r="C5" s="61">
        <v>3741900</v>
      </c>
      <c r="D5" s="61">
        <v>2</v>
      </c>
      <c r="E5" s="61">
        <v>0.30399999999999999</v>
      </c>
      <c r="F5" s="61" t="s">
        <v>89</v>
      </c>
      <c r="G5" s="61">
        <v>390</v>
      </c>
      <c r="H5" s="61" t="s">
        <v>85</v>
      </c>
      <c r="I5" s="61">
        <v>390</v>
      </c>
      <c r="J5" s="61" t="s">
        <v>90</v>
      </c>
      <c r="K5" s="61" t="s">
        <v>80</v>
      </c>
      <c r="L5" s="61">
        <v>0</v>
      </c>
      <c r="M5" s="61" t="s">
        <v>77</v>
      </c>
      <c r="N5" s="61" t="s">
        <v>53</v>
      </c>
      <c r="O5" s="61" t="s">
        <v>51</v>
      </c>
    </row>
    <row r="6" spans="1:15">
      <c r="A6" s="61" t="s">
        <v>83</v>
      </c>
      <c r="B6" s="61">
        <v>3</v>
      </c>
      <c r="C6" s="61">
        <v>3740200</v>
      </c>
      <c r="D6" s="61">
        <v>2</v>
      </c>
      <c r="E6" s="61">
        <v>2E-3</v>
      </c>
      <c r="F6" s="61" t="s">
        <v>89</v>
      </c>
      <c r="G6" s="61">
        <v>52</v>
      </c>
      <c r="H6" s="61" t="s">
        <v>85</v>
      </c>
      <c r="I6" s="61">
        <v>21</v>
      </c>
      <c r="J6" s="61" t="s">
        <v>92</v>
      </c>
      <c r="K6" s="61" t="s">
        <v>80</v>
      </c>
      <c r="L6" s="61">
        <v>0</v>
      </c>
      <c r="M6" s="61" t="s">
        <v>77</v>
      </c>
      <c r="N6" s="61" t="s">
        <v>53</v>
      </c>
      <c r="O6" s="61" t="s">
        <v>51</v>
      </c>
    </row>
    <row r="7" spans="1:15">
      <c r="A7" s="61" t="s">
        <v>79</v>
      </c>
      <c r="B7" s="61">
        <v>2</v>
      </c>
      <c r="C7" s="61" t="s">
        <v>94</v>
      </c>
      <c r="D7" s="61">
        <v>1</v>
      </c>
      <c r="E7" s="61"/>
      <c r="F7" s="61" t="s">
        <v>52</v>
      </c>
      <c r="G7" s="61"/>
      <c r="H7" s="61"/>
      <c r="I7" s="61"/>
      <c r="J7" s="61" t="s">
        <v>95</v>
      </c>
      <c r="K7" s="61" t="s">
        <v>94</v>
      </c>
      <c r="L7" s="61">
        <v>56.753</v>
      </c>
      <c r="M7" s="61" t="s">
        <v>77</v>
      </c>
      <c r="N7" s="61" t="s">
        <v>53</v>
      </c>
      <c r="O7" s="61" t="s">
        <v>51</v>
      </c>
    </row>
    <row r="8" spans="1:15">
      <c r="A8" s="61" t="s">
        <v>83</v>
      </c>
      <c r="B8" s="61">
        <v>1</v>
      </c>
      <c r="C8" s="61">
        <v>3779500</v>
      </c>
      <c r="D8" s="61">
        <v>1</v>
      </c>
      <c r="E8" s="61">
        <v>1712</v>
      </c>
      <c r="F8" s="61" t="s">
        <v>85</v>
      </c>
      <c r="G8" s="61">
        <v>1712</v>
      </c>
      <c r="H8" s="61" t="s">
        <v>85</v>
      </c>
      <c r="I8" s="61">
        <v>0</v>
      </c>
      <c r="J8" s="61" t="s">
        <v>98</v>
      </c>
      <c r="K8" s="61" t="s">
        <v>94</v>
      </c>
      <c r="L8" s="61">
        <v>0</v>
      </c>
      <c r="M8" s="61" t="s">
        <v>77</v>
      </c>
      <c r="N8" s="61" t="s">
        <v>53</v>
      </c>
      <c r="O8" s="61" t="s">
        <v>51</v>
      </c>
    </row>
    <row r="9" spans="1:15">
      <c r="A9" s="61" t="s">
        <v>79</v>
      </c>
      <c r="B9" s="61">
        <v>5</v>
      </c>
      <c r="C9" s="61" t="s">
        <v>108</v>
      </c>
      <c r="D9" s="61">
        <v>1</v>
      </c>
      <c r="E9" s="61"/>
      <c r="F9" s="61" t="s">
        <v>52</v>
      </c>
      <c r="G9" s="61"/>
      <c r="H9" s="61"/>
      <c r="I9" s="61"/>
      <c r="J9" s="61" t="s">
        <v>109</v>
      </c>
      <c r="K9" s="61" t="s">
        <v>108</v>
      </c>
      <c r="L9" s="61">
        <v>0.35</v>
      </c>
      <c r="M9" s="61" t="s">
        <v>77</v>
      </c>
      <c r="N9" s="61" t="s">
        <v>53</v>
      </c>
      <c r="O9" s="61" t="s">
        <v>51</v>
      </c>
    </row>
    <row r="10" spans="1:15">
      <c r="A10" s="61" t="s">
        <v>83</v>
      </c>
      <c r="B10" s="61">
        <v>1</v>
      </c>
      <c r="C10" s="61">
        <v>3369800</v>
      </c>
      <c r="D10" s="61">
        <v>1</v>
      </c>
      <c r="E10" s="61">
        <v>20</v>
      </c>
      <c r="F10" s="61" t="s">
        <v>85</v>
      </c>
      <c r="G10" s="61">
        <v>20</v>
      </c>
      <c r="H10" s="61" t="s">
        <v>85</v>
      </c>
      <c r="I10" s="61">
        <v>0</v>
      </c>
      <c r="J10" s="61" t="s">
        <v>111</v>
      </c>
      <c r="K10" s="61" t="s">
        <v>108</v>
      </c>
      <c r="L10" s="61">
        <v>0</v>
      </c>
      <c r="M10" s="61" t="s">
        <v>77</v>
      </c>
      <c r="N10" s="61" t="s">
        <v>53</v>
      </c>
      <c r="O10" s="61" t="s">
        <v>51</v>
      </c>
    </row>
    <row r="11" spans="1:15">
      <c r="A11" s="61" t="s">
        <v>79</v>
      </c>
      <c r="B11" s="61">
        <v>101</v>
      </c>
      <c r="C11" s="61">
        <v>2751000</v>
      </c>
      <c r="D11" s="61">
        <v>1</v>
      </c>
      <c r="E11" s="61"/>
      <c r="F11" s="61" t="s">
        <v>52</v>
      </c>
      <c r="G11" s="61"/>
      <c r="H11" s="61"/>
      <c r="I11" s="61"/>
      <c r="J11" s="61" t="s">
        <v>114</v>
      </c>
      <c r="K11" s="61" t="s">
        <v>108</v>
      </c>
      <c r="L11" s="61">
        <v>0.2</v>
      </c>
      <c r="M11" s="61" t="s">
        <v>77</v>
      </c>
      <c r="N11" s="61" t="s">
        <v>53</v>
      </c>
      <c r="O11" s="61" t="s">
        <v>51</v>
      </c>
    </row>
    <row r="12" spans="1:15">
      <c r="A12" s="61" t="s">
        <v>79</v>
      </c>
      <c r="B12" s="61">
        <v>102</v>
      </c>
      <c r="C12" s="61">
        <v>2593100</v>
      </c>
      <c r="D12" s="61">
        <v>1</v>
      </c>
      <c r="E12" s="61"/>
      <c r="F12" s="61" t="s">
        <v>52</v>
      </c>
      <c r="G12" s="61"/>
      <c r="H12" s="61"/>
      <c r="I12" s="61"/>
      <c r="J12" s="61" t="s">
        <v>117</v>
      </c>
      <c r="K12" s="61" t="s">
        <v>108</v>
      </c>
      <c r="L12" s="61">
        <v>0</v>
      </c>
      <c r="M12" s="61" t="s">
        <v>77</v>
      </c>
      <c r="N12" s="61" t="s">
        <v>53</v>
      </c>
      <c r="O12" s="61" t="s">
        <v>51</v>
      </c>
    </row>
    <row r="13" spans="1:15">
      <c r="A13" s="61" t="s">
        <v>74</v>
      </c>
      <c r="B13" s="61">
        <v>1</v>
      </c>
      <c r="C13" s="61" t="s">
        <v>441</v>
      </c>
      <c r="D13" s="61">
        <v>1</v>
      </c>
      <c r="E13" s="61"/>
      <c r="F13" s="61" t="s">
        <v>52</v>
      </c>
      <c r="G13" s="61"/>
      <c r="H13" s="61"/>
      <c r="I13" s="61"/>
      <c r="J13" s="61" t="s">
        <v>442</v>
      </c>
      <c r="K13" s="61" t="s">
        <v>441</v>
      </c>
      <c r="L13" s="61">
        <v>110.301</v>
      </c>
      <c r="M13" s="61" t="s">
        <v>77</v>
      </c>
      <c r="N13" s="61" t="s">
        <v>53</v>
      </c>
      <c r="O13" s="61" t="s">
        <v>51</v>
      </c>
    </row>
    <row r="14" spans="1:15">
      <c r="A14" s="61" t="s">
        <v>79</v>
      </c>
      <c r="B14" s="61">
        <v>1</v>
      </c>
      <c r="C14" s="61" t="s">
        <v>444</v>
      </c>
      <c r="D14" s="61">
        <v>1</v>
      </c>
      <c r="E14" s="61"/>
      <c r="F14" s="61" t="s">
        <v>52</v>
      </c>
      <c r="G14" s="61"/>
      <c r="H14" s="61"/>
      <c r="I14" s="61"/>
      <c r="J14" s="61" t="s">
        <v>445</v>
      </c>
      <c r="K14" s="61" t="s">
        <v>444</v>
      </c>
      <c r="L14" s="61">
        <v>87.534999999999997</v>
      </c>
      <c r="M14" s="61" t="s">
        <v>77</v>
      </c>
      <c r="N14" s="61" t="s">
        <v>53</v>
      </c>
      <c r="O14" s="61" t="s">
        <v>51</v>
      </c>
    </row>
    <row r="15" spans="1:15">
      <c r="A15" s="61" t="s">
        <v>83</v>
      </c>
      <c r="B15" s="61">
        <v>1</v>
      </c>
      <c r="C15" s="61">
        <v>3741900</v>
      </c>
      <c r="D15" s="61">
        <v>2</v>
      </c>
      <c r="E15" s="61">
        <v>0.19400000000000001</v>
      </c>
      <c r="F15" s="61" t="s">
        <v>89</v>
      </c>
      <c r="G15" s="61">
        <v>311</v>
      </c>
      <c r="H15" s="61" t="s">
        <v>85</v>
      </c>
      <c r="I15" s="61">
        <v>311</v>
      </c>
      <c r="J15" s="61" t="s">
        <v>90</v>
      </c>
      <c r="K15" s="61" t="s">
        <v>444</v>
      </c>
      <c r="L15" s="61">
        <v>0</v>
      </c>
      <c r="M15" s="61" t="s">
        <v>77</v>
      </c>
      <c r="N15" s="61" t="s">
        <v>53</v>
      </c>
      <c r="O15" s="61" t="s">
        <v>51</v>
      </c>
    </row>
    <row r="16" spans="1:15">
      <c r="A16" s="61" t="s">
        <v>83</v>
      </c>
      <c r="B16" s="61">
        <v>2</v>
      </c>
      <c r="C16" s="61">
        <v>299200</v>
      </c>
      <c r="D16" s="61">
        <v>1</v>
      </c>
      <c r="E16" s="61">
        <v>1140</v>
      </c>
      <c r="F16" s="61" t="s">
        <v>85</v>
      </c>
      <c r="G16" s="61">
        <v>1140</v>
      </c>
      <c r="H16" s="61" t="s">
        <v>85</v>
      </c>
      <c r="I16" s="61">
        <v>0</v>
      </c>
      <c r="J16" s="61" t="s">
        <v>448</v>
      </c>
      <c r="K16" s="61" t="s">
        <v>444</v>
      </c>
      <c r="L16" s="61">
        <v>0</v>
      </c>
      <c r="M16" s="61" t="s">
        <v>77</v>
      </c>
      <c r="N16" s="61" t="s">
        <v>53</v>
      </c>
      <c r="O16" s="61" t="s">
        <v>51</v>
      </c>
    </row>
    <row r="17" spans="1:15">
      <c r="A17" s="61" t="s">
        <v>79</v>
      </c>
      <c r="B17" s="61">
        <v>2</v>
      </c>
      <c r="C17" s="61" t="s">
        <v>450</v>
      </c>
      <c r="D17" s="61">
        <v>1</v>
      </c>
      <c r="E17" s="61"/>
      <c r="F17" s="61" t="s">
        <v>52</v>
      </c>
      <c r="G17" s="61"/>
      <c r="H17" s="61"/>
      <c r="I17" s="61"/>
      <c r="J17" s="61" t="s">
        <v>451</v>
      </c>
      <c r="K17" s="61" t="s">
        <v>450</v>
      </c>
      <c r="L17" s="61">
        <v>21.166</v>
      </c>
      <c r="M17" s="61" t="s">
        <v>77</v>
      </c>
      <c r="N17" s="61" t="s">
        <v>53</v>
      </c>
      <c r="O17" s="61" t="s">
        <v>51</v>
      </c>
    </row>
    <row r="18" spans="1:15">
      <c r="A18" s="61" t="s">
        <v>83</v>
      </c>
      <c r="B18" s="61">
        <v>1</v>
      </c>
      <c r="C18" s="61">
        <v>2822300</v>
      </c>
      <c r="D18" s="61">
        <v>1</v>
      </c>
      <c r="E18" s="61">
        <v>1374</v>
      </c>
      <c r="F18" s="61" t="s">
        <v>85</v>
      </c>
      <c r="G18" s="61">
        <v>1374</v>
      </c>
      <c r="H18" s="61" t="s">
        <v>85</v>
      </c>
      <c r="I18" s="61">
        <v>0</v>
      </c>
      <c r="J18" s="61" t="s">
        <v>454</v>
      </c>
      <c r="K18" s="61" t="s">
        <v>450</v>
      </c>
      <c r="L18" s="61">
        <v>0</v>
      </c>
      <c r="M18" s="61" t="s">
        <v>77</v>
      </c>
      <c r="N18" s="61" t="s">
        <v>53</v>
      </c>
      <c r="O18" s="61" t="s">
        <v>51</v>
      </c>
    </row>
  </sheetData>
  <autoFilter ref="A1:O18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56" customWidth="1"/>
    <col min="2" max="3" width="10" customWidth="1"/>
  </cols>
  <sheetData>
    <row r="1" spans="1:3">
      <c r="A1" s="60" t="s">
        <v>1411</v>
      </c>
      <c r="B1" s="60" t="s">
        <v>1412</v>
      </c>
      <c r="C1" s="60" t="s">
        <v>3</v>
      </c>
    </row>
    <row r="2" spans="1:3">
      <c r="A2" s="61" t="s">
        <v>339</v>
      </c>
      <c r="B2" s="61">
        <v>2</v>
      </c>
      <c r="C2" s="61">
        <v>4457500</v>
      </c>
    </row>
  </sheetData>
  <autoFilter ref="A1:C2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"/>
  <sheetViews>
    <sheetView workbookViewId="0">
      <pane ySplit="1" topLeftCell="A2" activePane="bottomLeft" state="frozen"/>
      <selection pane="bottomLeft" activeCell="A23" sqref="A23"/>
    </sheetView>
  </sheetViews>
  <sheetFormatPr defaultRowHeight="14.4"/>
  <cols>
    <col min="1" max="1" width="60" customWidth="1"/>
    <col min="2" max="2" width="10" customWidth="1"/>
    <col min="3" max="3" width="16" customWidth="1"/>
    <col min="4" max="4" width="11" customWidth="1"/>
  </cols>
  <sheetData>
    <row r="1" spans="1:4">
      <c r="A1" s="60" t="s">
        <v>1411</v>
      </c>
      <c r="B1" s="60" t="s">
        <v>1412</v>
      </c>
      <c r="C1" s="60" t="s">
        <v>3</v>
      </c>
      <c r="D1" s="60" t="s">
        <v>24</v>
      </c>
    </row>
    <row r="2" spans="1:4">
      <c r="A2" s="61" t="s">
        <v>141</v>
      </c>
      <c r="B2" s="61">
        <v>2</v>
      </c>
      <c r="C2" s="61" t="s">
        <v>140</v>
      </c>
      <c r="D2" s="61" t="s">
        <v>51</v>
      </c>
    </row>
    <row r="3" spans="1:4">
      <c r="A3" s="61" t="s">
        <v>477</v>
      </c>
      <c r="B3" s="61">
        <v>2</v>
      </c>
      <c r="C3" s="61" t="s">
        <v>476</v>
      </c>
      <c r="D3" s="61" t="s">
        <v>51</v>
      </c>
    </row>
    <row r="4" spans="1:4">
      <c r="A4" s="61" t="s">
        <v>150</v>
      </c>
      <c r="B4" s="61">
        <v>4</v>
      </c>
      <c r="C4" s="61">
        <v>5038300</v>
      </c>
      <c r="D4" s="61" t="s">
        <v>51</v>
      </c>
    </row>
    <row r="5" spans="1:4">
      <c r="A5" s="61" t="s">
        <v>480</v>
      </c>
      <c r="B5" s="61">
        <v>2</v>
      </c>
      <c r="C5" s="61" t="s">
        <v>479</v>
      </c>
      <c r="D5" s="61" t="s">
        <v>51</v>
      </c>
    </row>
    <row r="6" spans="1:4">
      <c r="A6" s="61" t="s">
        <v>144</v>
      </c>
      <c r="B6" s="61">
        <v>1</v>
      </c>
      <c r="C6" s="61" t="s">
        <v>143</v>
      </c>
      <c r="D6" s="61" t="s">
        <v>51</v>
      </c>
    </row>
    <row r="7" spans="1:4">
      <c r="A7" s="61" t="s">
        <v>135</v>
      </c>
      <c r="B7" s="61">
        <v>2</v>
      </c>
      <c r="C7" s="61" t="s">
        <v>134</v>
      </c>
      <c r="D7" s="61" t="s">
        <v>51</v>
      </c>
    </row>
    <row r="8" spans="1:4">
      <c r="A8" s="61" t="s">
        <v>472</v>
      </c>
      <c r="B8" s="61">
        <v>2</v>
      </c>
      <c r="C8" s="61">
        <v>3728200</v>
      </c>
      <c r="D8" s="61" t="s">
        <v>51</v>
      </c>
    </row>
    <row r="9" spans="1:4">
      <c r="A9" s="61" t="s">
        <v>138</v>
      </c>
      <c r="B9" s="61">
        <v>2</v>
      </c>
      <c r="C9" s="61" t="s">
        <v>137</v>
      </c>
      <c r="D9" s="61" t="s">
        <v>51</v>
      </c>
    </row>
    <row r="10" spans="1:4">
      <c r="A10" s="61" t="s">
        <v>474</v>
      </c>
      <c r="B10" s="61">
        <v>2</v>
      </c>
      <c r="C10" s="61">
        <v>3728400</v>
      </c>
      <c r="D10" s="61" t="s">
        <v>51</v>
      </c>
    </row>
    <row r="11" spans="1:4">
      <c r="A11" s="61" t="s">
        <v>457</v>
      </c>
      <c r="B11" s="61">
        <v>2</v>
      </c>
      <c r="C11" s="61" t="s">
        <v>456</v>
      </c>
      <c r="D11" s="61" t="s">
        <v>51</v>
      </c>
    </row>
    <row r="12" spans="1:4">
      <c r="A12" s="61" t="s">
        <v>101</v>
      </c>
      <c r="B12" s="61">
        <v>2</v>
      </c>
      <c r="C12" s="61" t="s">
        <v>100</v>
      </c>
      <c r="D12" s="61" t="s">
        <v>51</v>
      </c>
    </row>
    <row r="13" spans="1:4">
      <c r="A13" s="61" t="s">
        <v>152</v>
      </c>
      <c r="B13" s="61">
        <v>4</v>
      </c>
      <c r="C13" s="61">
        <v>3661300</v>
      </c>
      <c r="D13" s="61" t="s">
        <v>51</v>
      </c>
    </row>
    <row r="14" spans="1:4">
      <c r="A14" s="61" t="s">
        <v>132</v>
      </c>
      <c r="B14" s="61">
        <v>2</v>
      </c>
      <c r="C14" s="61" t="s">
        <v>131</v>
      </c>
      <c r="D14" s="61" t="s">
        <v>51</v>
      </c>
    </row>
    <row r="15" spans="1:4">
      <c r="A15" s="61" t="s">
        <v>470</v>
      </c>
      <c r="B15" s="61">
        <v>2</v>
      </c>
      <c r="C15" s="61" t="s">
        <v>469</v>
      </c>
      <c r="D15" s="61" t="s">
        <v>51</v>
      </c>
    </row>
    <row r="16" spans="1:4">
      <c r="A16" s="61" t="s">
        <v>483</v>
      </c>
      <c r="B16" s="61">
        <v>2</v>
      </c>
      <c r="C16" s="61" t="s">
        <v>482</v>
      </c>
      <c r="D16" s="61" t="s">
        <v>51</v>
      </c>
    </row>
    <row r="17" spans="1:4">
      <c r="A17" s="61" t="s">
        <v>147</v>
      </c>
      <c r="B17" s="61">
        <v>3</v>
      </c>
      <c r="C17" s="61" t="s">
        <v>146</v>
      </c>
      <c r="D17" s="61" t="s">
        <v>51</v>
      </c>
    </row>
  </sheetData>
  <autoFilter ref="A1:D17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workbookViewId="0">
      <pane ySplit="1" topLeftCell="A2" activePane="bottomLeft" state="frozen"/>
      <selection pane="bottomLeft" activeCell="C17" sqref="C17"/>
    </sheetView>
  </sheetViews>
  <sheetFormatPr defaultRowHeight="14.4"/>
  <cols>
    <col min="1" max="1" width="60" customWidth="1"/>
    <col min="2" max="2" width="10" customWidth="1"/>
    <col min="3" max="3" width="16" customWidth="1"/>
  </cols>
  <sheetData>
    <row r="1" spans="1:3">
      <c r="A1" s="65" t="s">
        <v>1411</v>
      </c>
      <c r="B1" s="65" t="s">
        <v>1412</v>
      </c>
      <c r="C1" s="63" t="s">
        <v>3</v>
      </c>
    </row>
    <row r="2" spans="1:3">
      <c r="A2" s="66" t="s">
        <v>1297</v>
      </c>
      <c r="B2" s="66">
        <v>87</v>
      </c>
      <c r="C2" s="64" t="s">
        <v>1296</v>
      </c>
    </row>
    <row r="3" spans="1:3">
      <c r="A3" s="66" t="s">
        <v>780</v>
      </c>
      <c r="B3" s="66">
        <v>4</v>
      </c>
      <c r="C3" s="64" t="s">
        <v>779</v>
      </c>
    </row>
    <row r="4" spans="1:3">
      <c r="A4" s="66" t="s">
        <v>1300</v>
      </c>
      <c r="B4" s="66">
        <v>4</v>
      </c>
      <c r="C4" s="64">
        <v>41178549</v>
      </c>
    </row>
    <row r="5" spans="1:3">
      <c r="A5" s="66" t="s">
        <v>776</v>
      </c>
      <c r="B5" s="66">
        <v>8</v>
      </c>
      <c r="C5" s="64" t="s">
        <v>775</v>
      </c>
    </row>
  </sheetData>
  <autoFilter ref="A1:C5" xr:uid="{00000000-0009-0000-0000-00000A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60" customWidth="1"/>
    <col min="2" max="3" width="10" customWidth="1"/>
  </cols>
  <sheetData>
    <row r="1" spans="1:3">
      <c r="A1" s="60" t="s">
        <v>1411</v>
      </c>
      <c r="B1" s="60" t="s">
        <v>1412</v>
      </c>
      <c r="C1" s="60" t="s">
        <v>3</v>
      </c>
    </row>
    <row r="2" spans="1:3">
      <c r="A2" s="61" t="s">
        <v>67</v>
      </c>
      <c r="B2" s="61">
        <v>1</v>
      </c>
      <c r="C2" s="61">
        <v>8032400</v>
      </c>
    </row>
  </sheetData>
  <autoFilter ref="A1:C2" xr:uid="{00000000-0009-0000-0000-00000B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"/>
  <sheetViews>
    <sheetView workbookViewId="0">
      <pane ySplit="1" topLeftCell="A2" activePane="bottomLeft" state="frozen"/>
      <selection pane="bottomLeft" activeCell="E6" sqref="E6"/>
    </sheetView>
  </sheetViews>
  <sheetFormatPr defaultRowHeight="14.4"/>
  <cols>
    <col min="1" max="1" width="60" style="69" customWidth="1"/>
    <col min="2" max="3" width="10" customWidth="1"/>
  </cols>
  <sheetData>
    <row r="1" spans="1:3">
      <c r="A1" s="67" t="s">
        <v>1411</v>
      </c>
      <c r="B1" s="60" t="s">
        <v>1412</v>
      </c>
      <c r="C1" s="60" t="s">
        <v>3</v>
      </c>
    </row>
    <row r="2" spans="1:3" ht="72">
      <c r="A2" s="68" t="s">
        <v>286</v>
      </c>
      <c r="B2" s="61">
        <v>1</v>
      </c>
      <c r="C2" s="61">
        <v>7865200</v>
      </c>
    </row>
    <row r="3" spans="1:3" ht="72">
      <c r="A3" s="68" t="s">
        <v>289</v>
      </c>
      <c r="B3" s="61">
        <v>1</v>
      </c>
      <c r="C3" s="61">
        <v>7866200</v>
      </c>
    </row>
  </sheetData>
  <autoFilter ref="A1:C3" xr:uid="{00000000-0009-0000-0000-00000C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60" customWidth="1"/>
    <col min="2" max="3" width="10" customWidth="1"/>
  </cols>
  <sheetData>
    <row r="1" spans="1:3">
      <c r="A1" s="60" t="s">
        <v>1411</v>
      </c>
      <c r="B1" s="60" t="s">
        <v>1412</v>
      </c>
      <c r="C1" s="60" t="s">
        <v>3</v>
      </c>
    </row>
    <row r="2" spans="1:3">
      <c r="A2" s="61" t="s">
        <v>1368</v>
      </c>
      <c r="B2" s="61">
        <v>2</v>
      </c>
      <c r="C2" s="61" t="s">
        <v>1367</v>
      </c>
    </row>
    <row r="3" spans="1:3">
      <c r="A3" s="61" t="s">
        <v>1371</v>
      </c>
      <c r="B3" s="61">
        <v>2</v>
      </c>
      <c r="C3" s="61" t="s">
        <v>1370</v>
      </c>
    </row>
    <row r="4" spans="1:3">
      <c r="A4" s="61" t="s">
        <v>1342</v>
      </c>
      <c r="B4" s="61">
        <v>9</v>
      </c>
      <c r="C4" s="61">
        <v>4139700</v>
      </c>
    </row>
    <row r="5" spans="1:3">
      <c r="A5" s="61" t="s">
        <v>1348</v>
      </c>
      <c r="B5" s="61">
        <v>18</v>
      </c>
      <c r="C5" s="61">
        <v>3708400</v>
      </c>
    </row>
    <row r="6" spans="1:3">
      <c r="A6" s="61" t="s">
        <v>1346</v>
      </c>
      <c r="B6" s="61">
        <v>22</v>
      </c>
      <c r="C6" s="61" t="s">
        <v>1345</v>
      </c>
    </row>
  </sheetData>
  <autoFilter ref="A1:C6" xr:uid="{00000000-0009-0000-0000-00000D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"/>
  <sheetViews>
    <sheetView workbookViewId="0">
      <pane ySplit="1" topLeftCell="A2" activePane="bottomLeft" state="frozen"/>
      <selection pane="bottomLeft" activeCell="B3" sqref="B3"/>
    </sheetView>
  </sheetViews>
  <sheetFormatPr defaultRowHeight="14.4"/>
  <cols>
    <col min="1" max="1" width="60" style="69" customWidth="1"/>
    <col min="2" max="2" width="10" customWidth="1"/>
    <col min="3" max="3" width="11" customWidth="1"/>
  </cols>
  <sheetData>
    <row r="1" spans="1:3">
      <c r="A1" s="67" t="s">
        <v>1411</v>
      </c>
      <c r="B1" s="60" t="s">
        <v>1412</v>
      </c>
      <c r="C1" s="60" t="s">
        <v>3</v>
      </c>
    </row>
    <row r="2" spans="1:3" ht="57.6">
      <c r="A2" s="68" t="s">
        <v>1321</v>
      </c>
      <c r="B2" s="61">
        <v>60</v>
      </c>
      <c r="C2" s="61" t="s">
        <v>1319</v>
      </c>
    </row>
    <row r="3" spans="1:3" ht="72">
      <c r="A3" s="68" t="s">
        <v>1317</v>
      </c>
      <c r="B3" s="61">
        <v>4</v>
      </c>
      <c r="C3" s="61" t="s">
        <v>1316</v>
      </c>
    </row>
    <row r="4" spans="1:3" ht="144">
      <c r="A4" s="68" t="s">
        <v>1303</v>
      </c>
      <c r="B4" s="61">
        <v>2</v>
      </c>
      <c r="C4" s="61">
        <v>4676200</v>
      </c>
    </row>
    <row r="5" spans="1:3" ht="57.6">
      <c r="A5" s="68" t="s">
        <v>1310</v>
      </c>
      <c r="B5" s="61">
        <v>2</v>
      </c>
      <c r="C5" s="61" t="s">
        <v>1309</v>
      </c>
    </row>
    <row r="6" spans="1:3" ht="72">
      <c r="A6" s="68" t="s">
        <v>1324</v>
      </c>
      <c r="B6" s="61">
        <v>2</v>
      </c>
      <c r="C6" s="61" t="s">
        <v>1323</v>
      </c>
    </row>
  </sheetData>
  <autoFilter ref="A1:C6" xr:uid="{00000000-0009-0000-0000-00000E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60" customWidth="1"/>
    <col min="2" max="2" width="10" customWidth="1"/>
  </cols>
  <sheetData>
    <row r="1" spans="1:2">
      <c r="A1" s="60" t="s">
        <v>1411</v>
      </c>
      <c r="B1" s="60" t="s">
        <v>1412</v>
      </c>
    </row>
    <row r="2" spans="1:2">
      <c r="A2" s="61" t="s">
        <v>1332</v>
      </c>
      <c r="B2" s="61">
        <v>1</v>
      </c>
    </row>
    <row r="3" spans="1:2">
      <c r="A3" s="61" t="s">
        <v>1329</v>
      </c>
      <c r="B3" s="61">
        <v>1</v>
      </c>
    </row>
  </sheetData>
  <autoFilter ref="A1:B3" xr:uid="{00000000-0009-0000-0000-00000F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Y3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0" width="10" customWidth="1"/>
    <col min="11" max="11" width="60" customWidth="1"/>
    <col min="12" max="12" width="12" customWidth="1"/>
    <col min="13" max="14" width="10" customWidth="1"/>
    <col min="15" max="15" width="42" customWidth="1"/>
    <col min="16" max="21" width="10" customWidth="1"/>
    <col min="22" max="22" width="13" customWidth="1"/>
    <col min="23" max="23" width="10" customWidth="1"/>
    <col min="24" max="24" width="16" customWidth="1"/>
    <col min="25" max="25" width="10" customWidth="1"/>
    <col min="26" max="26" width="28" customWidth="1"/>
    <col min="27" max="27" width="11" customWidth="1"/>
    <col min="28" max="28" width="14" customWidth="1"/>
    <col min="29" max="29" width="28" customWidth="1"/>
    <col min="30" max="30" width="10" customWidth="1"/>
    <col min="31" max="31" width="13" customWidth="1"/>
    <col min="32" max="32" width="16" customWidth="1"/>
    <col min="33" max="35" width="10" customWidth="1"/>
    <col min="36" max="36" width="15" customWidth="1"/>
    <col min="37" max="37" width="10" customWidth="1"/>
    <col min="38" max="38" width="19" customWidth="1"/>
    <col min="39" max="39" width="13" customWidth="1"/>
    <col min="40" max="41" width="10" customWidth="1"/>
    <col min="42" max="42" width="18" customWidth="1"/>
    <col min="43" max="43" width="10" customWidth="1"/>
    <col min="44" max="44" width="21" customWidth="1"/>
    <col min="45" max="45" width="11" customWidth="1"/>
    <col min="46" max="46" width="10" customWidth="1"/>
    <col min="47" max="47" width="21" customWidth="1"/>
    <col min="48" max="48" width="10" customWidth="1"/>
    <col min="49" max="49" width="13" customWidth="1"/>
    <col min="50" max="50" width="15" customWidth="1"/>
    <col min="51" max="51" width="14" customWidth="1"/>
  </cols>
  <sheetData>
    <row r="1" spans="1:5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1425</v>
      </c>
      <c r="J1" s="60" t="s">
        <v>8</v>
      </c>
      <c r="K1" s="60" t="s">
        <v>9</v>
      </c>
      <c r="L1" s="60" t="s">
        <v>10</v>
      </c>
      <c r="M1" s="60" t="s">
        <v>11</v>
      </c>
      <c r="N1" s="60" t="s">
        <v>12</v>
      </c>
      <c r="O1" s="60" t="s">
        <v>13</v>
      </c>
      <c r="P1" s="60" t="s">
        <v>14</v>
      </c>
      <c r="Q1" s="60" t="s">
        <v>15</v>
      </c>
      <c r="R1" s="60" t="s">
        <v>16</v>
      </c>
      <c r="S1" s="60" t="s">
        <v>17</v>
      </c>
      <c r="T1" s="60" t="s">
        <v>18</v>
      </c>
      <c r="U1" s="60" t="s">
        <v>19</v>
      </c>
      <c r="V1" s="60" t="s">
        <v>1426</v>
      </c>
      <c r="W1" s="60" t="s">
        <v>20</v>
      </c>
      <c r="X1" s="60" t="s">
        <v>21</v>
      </c>
      <c r="Y1" s="60" t="s">
        <v>22</v>
      </c>
      <c r="Z1" s="60" t="s">
        <v>23</v>
      </c>
      <c r="AA1" s="60" t="s">
        <v>24</v>
      </c>
      <c r="AB1" s="60" t="s">
        <v>25</v>
      </c>
      <c r="AC1" s="60" t="s">
        <v>26</v>
      </c>
      <c r="AD1" s="60" t="s">
        <v>27</v>
      </c>
      <c r="AE1" s="60" t="s">
        <v>28</v>
      </c>
      <c r="AF1" s="60" t="s">
        <v>29</v>
      </c>
      <c r="AG1" s="60" t="s">
        <v>30</v>
      </c>
      <c r="AH1" s="60" t="s">
        <v>31</v>
      </c>
      <c r="AI1" s="60" t="s">
        <v>32</v>
      </c>
      <c r="AJ1" s="60" t="s">
        <v>33</v>
      </c>
      <c r="AK1" s="60" t="s">
        <v>34</v>
      </c>
      <c r="AL1" s="60" t="s">
        <v>35</v>
      </c>
      <c r="AM1" s="60" t="s">
        <v>36</v>
      </c>
      <c r="AN1" s="60" t="s">
        <v>37</v>
      </c>
      <c r="AO1" s="60" t="s">
        <v>38</v>
      </c>
      <c r="AP1" s="60" t="s">
        <v>39</v>
      </c>
      <c r="AQ1" s="60" t="s">
        <v>40</v>
      </c>
      <c r="AR1" s="60" t="s">
        <v>41</v>
      </c>
      <c r="AS1" s="60" t="s">
        <v>42</v>
      </c>
      <c r="AT1" s="60" t="s">
        <v>43</v>
      </c>
      <c r="AU1" s="60" t="s">
        <v>44</v>
      </c>
      <c r="AV1" s="60" t="s">
        <v>45</v>
      </c>
      <c r="AW1" s="60" t="s">
        <v>46</v>
      </c>
      <c r="AX1" s="60" t="s">
        <v>47</v>
      </c>
      <c r="AY1" s="60" t="s">
        <v>48</v>
      </c>
    </row>
    <row r="2" spans="1:51">
      <c r="A2" s="61">
        <v>311</v>
      </c>
      <c r="B2" s="61" t="s">
        <v>220</v>
      </c>
      <c r="C2" s="61">
        <v>1</v>
      </c>
      <c r="D2" s="61">
        <v>6406100</v>
      </c>
      <c r="E2" s="61">
        <v>1</v>
      </c>
      <c r="F2" s="61">
        <v>0.63700000000000001</v>
      </c>
      <c r="G2" s="61" t="s">
        <v>89</v>
      </c>
      <c r="H2" s="61">
        <v>1173</v>
      </c>
      <c r="I2" s="61" t="s">
        <v>85</v>
      </c>
      <c r="J2" s="61">
        <v>543</v>
      </c>
      <c r="K2" s="61" t="s">
        <v>705</v>
      </c>
      <c r="L2" s="61" t="s">
        <v>701</v>
      </c>
      <c r="M2" s="61"/>
      <c r="N2" s="61"/>
      <c r="O2" s="61"/>
      <c r="P2" s="61"/>
      <c r="Q2" s="61"/>
      <c r="R2" s="61"/>
      <c r="S2" s="61" t="s">
        <v>64</v>
      </c>
      <c r="T2" s="61"/>
      <c r="U2" s="61" t="s">
        <v>17</v>
      </c>
      <c r="V2" s="61"/>
      <c r="W2" s="61">
        <v>0</v>
      </c>
      <c r="X2" s="61"/>
      <c r="Y2" s="61" t="s">
        <v>706</v>
      </c>
      <c r="Z2" s="61" t="s">
        <v>53</v>
      </c>
      <c r="AA2" s="61" t="s">
        <v>51</v>
      </c>
      <c r="AB2" s="61" t="s">
        <v>439</v>
      </c>
      <c r="AC2" s="61"/>
      <c r="AD2" s="61"/>
      <c r="AE2" s="61"/>
      <c r="AF2" s="61"/>
      <c r="AG2" s="61">
        <v>45672050</v>
      </c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</row>
    <row r="3" spans="1:51">
      <c r="A3" s="61">
        <v>591</v>
      </c>
      <c r="B3" s="61" t="s">
        <v>79</v>
      </c>
      <c r="C3" s="61">
        <v>1</v>
      </c>
      <c r="D3" s="61">
        <v>6406100</v>
      </c>
      <c r="E3" s="61">
        <v>7</v>
      </c>
      <c r="F3" s="61">
        <v>8.0860000000000003</v>
      </c>
      <c r="G3" s="61" t="s">
        <v>89</v>
      </c>
      <c r="H3" s="61">
        <v>1323</v>
      </c>
      <c r="I3" s="61" t="s">
        <v>85</v>
      </c>
      <c r="J3" s="61">
        <v>873</v>
      </c>
      <c r="K3" s="61" t="s">
        <v>705</v>
      </c>
      <c r="L3" s="61" t="s">
        <v>1212</v>
      </c>
      <c r="M3" s="61"/>
      <c r="N3" s="61"/>
      <c r="O3" s="61"/>
      <c r="P3" s="61"/>
      <c r="Q3" s="61"/>
      <c r="R3" s="61"/>
      <c r="S3" s="61" t="s">
        <v>64</v>
      </c>
      <c r="T3" s="61"/>
      <c r="U3" s="61" t="s">
        <v>17</v>
      </c>
      <c r="V3" s="61"/>
      <c r="W3" s="61">
        <v>0</v>
      </c>
      <c r="X3" s="61"/>
      <c r="Y3" s="61" t="s">
        <v>706</v>
      </c>
      <c r="Z3" s="61" t="s">
        <v>53</v>
      </c>
      <c r="AA3" s="61" t="s">
        <v>51</v>
      </c>
      <c r="AB3" s="61" t="s">
        <v>1167</v>
      </c>
      <c r="AC3" s="61"/>
      <c r="AD3" s="61"/>
      <c r="AE3" s="61"/>
      <c r="AF3" s="61"/>
      <c r="AG3" s="61">
        <v>45672050</v>
      </c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</row>
  </sheetData>
  <autoFilter ref="A1:AY3" xr:uid="{00000000-0009-0000-0000-00001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WYKAZ</vt:lpstr>
      <vt:lpstr>Arkusz1</vt:lpstr>
      <vt:lpstr>ZŁĄCZNE</vt:lpstr>
      <vt:lpstr>PROFILE</vt:lpstr>
      <vt:lpstr>GUMA</vt:lpstr>
      <vt:lpstr>GUMOWANIE</vt:lpstr>
      <vt:lpstr>MAP</vt:lpstr>
      <vt:lpstr>INNE</vt:lpstr>
      <vt:lpstr>ŁOŻYSKA</vt:lpstr>
      <vt:lpstr>ROLKI</vt:lpstr>
      <vt:lpstr>TAŚMA</vt:lpstr>
      <vt:lpstr>ZDZIERAK</vt:lpstr>
      <vt:lpstr>ELEKTRO</vt:lpstr>
      <vt:lpstr>RA CONTROLS</vt:lpstr>
      <vt:lpstr>NEW TECH</vt:lpstr>
      <vt:lpstr>SIATKI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Bartlomiej Kucaba</cp:lastModifiedBy>
  <dcterms:created xsi:type="dcterms:W3CDTF">2026-04-20T05:17:01Z</dcterms:created>
  <dcterms:modified xsi:type="dcterms:W3CDTF">2026-07-07T05:17:44Z</dcterms:modified>
</cp:coreProperties>
</file>